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paul.carysforth/Downloads/"/>
    </mc:Choice>
  </mc:AlternateContent>
  <xr:revisionPtr revIDLastSave="0" documentId="13_ncr:1_{8D229BF7-E5C2-0746-B6FB-38880516B0A8}" xr6:coauthVersionLast="47" xr6:coauthVersionMax="47" xr10:uidLastSave="{00000000-0000-0000-0000-000000000000}"/>
  <bookViews>
    <workbookView xWindow="1740" yWindow="660" windowWidth="26280" windowHeight="17580" xr2:uid="{00000000-000D-0000-FFFF-FFFF00000000}"/>
  </bookViews>
  <sheets>
    <sheet name="CORE DATA C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0" i="1" l="1"/>
  <c r="K760" i="1" s="1"/>
  <c r="I792" i="1"/>
  <c r="K792" i="1" s="1"/>
  <c r="I509" i="1"/>
  <c r="K509" i="1" s="1"/>
  <c r="I552" i="1"/>
  <c r="J552" i="1" s="1"/>
  <c r="I621" i="1"/>
  <c r="J621" i="1" s="1"/>
  <c r="I544" i="1"/>
  <c r="J544" i="1" s="1"/>
  <c r="I514" i="1"/>
  <c r="J514" i="1" s="1"/>
  <c r="I458" i="1"/>
  <c r="J458" i="1" s="1"/>
  <c r="K770" i="1"/>
  <c r="J770" i="1"/>
  <c r="K91" i="1"/>
  <c r="J91" i="1"/>
  <c r="K24" i="1"/>
  <c r="J24" i="1"/>
  <c r="K756" i="1"/>
  <c r="J756" i="1"/>
  <c r="K3" i="1"/>
  <c r="J3" i="1"/>
  <c r="K10" i="1"/>
  <c r="J10" i="1"/>
  <c r="K530" i="1"/>
  <c r="J530" i="1"/>
  <c r="K606" i="1"/>
  <c r="J606" i="1"/>
  <c r="K786" i="1"/>
  <c r="J786" i="1"/>
  <c r="K526" i="1"/>
  <c r="J526" i="1"/>
  <c r="K648" i="1"/>
  <c r="J648" i="1"/>
  <c r="K251" i="1"/>
  <c r="J251" i="1"/>
  <c r="K330" i="1"/>
  <c r="J330" i="1"/>
  <c r="K520" i="1"/>
  <c r="J520" i="1"/>
  <c r="K211" i="1"/>
  <c r="J211" i="1"/>
  <c r="K752" i="1"/>
  <c r="J752" i="1"/>
  <c r="K524" i="1"/>
  <c r="J524" i="1"/>
  <c r="K383" i="1"/>
  <c r="J383" i="1"/>
  <c r="K515" i="1"/>
  <c r="J515" i="1"/>
  <c r="K285" i="1"/>
  <c r="J285" i="1"/>
  <c r="K506" i="1"/>
  <c r="J506" i="1"/>
  <c r="K345" i="1"/>
  <c r="J345" i="1"/>
  <c r="K189" i="1"/>
  <c r="J189" i="1"/>
  <c r="K209" i="1"/>
  <c r="J209" i="1"/>
  <c r="K356" i="1"/>
  <c r="J356" i="1"/>
  <c r="K477" i="1"/>
  <c r="J477" i="1"/>
  <c r="K647" i="1"/>
  <c r="J647" i="1"/>
  <c r="K115" i="1"/>
  <c r="J115" i="1"/>
  <c r="K343" i="1"/>
  <c r="J343" i="1"/>
  <c r="K329" i="1"/>
  <c r="J329" i="1"/>
  <c r="K502" i="1"/>
  <c r="J502" i="1"/>
  <c r="K238" i="1"/>
  <c r="J238" i="1"/>
  <c r="K61" i="1"/>
  <c r="J61" i="1"/>
  <c r="K199" i="1"/>
  <c r="J199" i="1"/>
  <c r="K271" i="1"/>
  <c r="J271" i="1"/>
  <c r="K304" i="1"/>
  <c r="J304" i="1"/>
  <c r="K178" i="1"/>
  <c r="J178" i="1"/>
  <c r="K349" i="1"/>
  <c r="J349" i="1"/>
  <c r="K155" i="1"/>
  <c r="J155" i="1"/>
  <c r="K702" i="1"/>
  <c r="J702" i="1"/>
  <c r="K402" i="1"/>
  <c r="J402" i="1"/>
  <c r="K780" i="1"/>
  <c r="J780" i="1"/>
  <c r="K576" i="1"/>
  <c r="J576" i="1"/>
  <c r="K755" i="1"/>
  <c r="J755" i="1"/>
  <c r="K468" i="1"/>
  <c r="J468" i="1"/>
  <c r="K801" i="1"/>
  <c r="J801" i="1"/>
  <c r="K753" i="1"/>
  <c r="J753" i="1"/>
  <c r="K721" i="1"/>
  <c r="J721" i="1"/>
  <c r="K494" i="1"/>
  <c r="J494" i="1"/>
  <c r="K479" i="1"/>
  <c r="J479" i="1"/>
  <c r="K423" i="1"/>
  <c r="J423" i="1"/>
  <c r="K671" i="1"/>
  <c r="J671" i="1"/>
  <c r="K254" i="1"/>
  <c r="J254" i="1"/>
  <c r="K102" i="1"/>
  <c r="J102" i="1"/>
  <c r="K134" i="1"/>
  <c r="J134" i="1"/>
  <c r="K213" i="1"/>
  <c r="J213" i="1"/>
  <c r="K46" i="1"/>
  <c r="J46" i="1"/>
  <c r="K431" i="1"/>
  <c r="J431" i="1"/>
  <c r="K109" i="1"/>
  <c r="J109" i="1"/>
  <c r="K193" i="1"/>
  <c r="J193" i="1"/>
  <c r="K768" i="1"/>
  <c r="J768" i="1"/>
  <c r="K694" i="1"/>
  <c r="J694" i="1"/>
  <c r="K778" i="1"/>
  <c r="J778" i="1"/>
  <c r="K475" i="1"/>
  <c r="J475" i="1"/>
  <c r="K674" i="1"/>
  <c r="J674" i="1"/>
  <c r="K575" i="1"/>
  <c r="J575" i="1"/>
  <c r="K727" i="1"/>
  <c r="J727" i="1"/>
  <c r="K724" i="1"/>
  <c r="J724" i="1"/>
  <c r="K685" i="1"/>
  <c r="J685" i="1"/>
  <c r="K590" i="1"/>
  <c r="J590" i="1"/>
  <c r="K363" i="1"/>
  <c r="J363" i="1"/>
  <c r="K495" i="1"/>
  <c r="J495" i="1"/>
  <c r="K418" i="1"/>
  <c r="J418" i="1"/>
  <c r="K198" i="1"/>
  <c r="J198" i="1"/>
  <c r="K682" i="1"/>
  <c r="J682" i="1"/>
  <c r="K443" i="1"/>
  <c r="J443" i="1"/>
  <c r="K433" i="1"/>
  <c r="J433" i="1"/>
  <c r="K661" i="1"/>
  <c r="J661" i="1"/>
  <c r="K633" i="1"/>
  <c r="J633" i="1"/>
  <c r="K797" i="1"/>
  <c r="J797" i="1"/>
  <c r="K771" i="1"/>
  <c r="J771" i="1"/>
  <c r="K732" i="1"/>
  <c r="J732" i="1"/>
  <c r="K680" i="1"/>
  <c r="J680" i="1"/>
  <c r="K557" i="1"/>
  <c r="J557" i="1"/>
  <c r="K537" i="1"/>
  <c r="J537" i="1"/>
  <c r="K618" i="1"/>
  <c r="J618" i="1"/>
  <c r="K255" i="1"/>
  <c r="J255" i="1"/>
  <c r="K688" i="1"/>
  <c r="J688" i="1"/>
  <c r="K361" i="1"/>
  <c r="J361" i="1"/>
  <c r="K243" i="1"/>
  <c r="J243" i="1"/>
  <c r="K498" i="1"/>
  <c r="J498" i="1"/>
  <c r="K126" i="1"/>
  <c r="J126" i="1"/>
  <c r="K45" i="1"/>
  <c r="J45" i="1"/>
  <c r="K124" i="1"/>
  <c r="J124" i="1"/>
  <c r="K110" i="1"/>
  <c r="J110" i="1"/>
  <c r="K19" i="1"/>
  <c r="J19" i="1"/>
  <c r="K181" i="1"/>
  <c r="J181" i="1"/>
  <c r="K78" i="1"/>
  <c r="J78" i="1"/>
  <c r="K16" i="1"/>
  <c r="J16" i="1"/>
  <c r="K320" i="1"/>
  <c r="J320" i="1"/>
  <c r="K177" i="1"/>
  <c r="J177" i="1"/>
  <c r="K165" i="1"/>
  <c r="J165" i="1"/>
  <c r="K139" i="1"/>
  <c r="J139" i="1"/>
  <c r="K168" i="1"/>
  <c r="J168" i="1"/>
  <c r="K745" i="1"/>
  <c r="J745" i="1"/>
  <c r="K195" i="1"/>
  <c r="J195" i="1"/>
  <c r="K221" i="1"/>
  <c r="J221" i="1"/>
  <c r="K565" i="1"/>
  <c r="J565" i="1"/>
  <c r="K49" i="1"/>
  <c r="J49" i="1"/>
  <c r="K64" i="1"/>
  <c r="J64" i="1"/>
  <c r="K108" i="1"/>
  <c r="J108" i="1"/>
  <c r="K20" i="1"/>
  <c r="J20" i="1"/>
  <c r="K716" i="1"/>
  <c r="J716" i="1"/>
  <c r="K421" i="1"/>
  <c r="J421" i="1"/>
  <c r="K534" i="1"/>
  <c r="J534" i="1"/>
  <c r="K379" i="1"/>
  <c r="J379" i="1"/>
  <c r="K264" i="1"/>
  <c r="J264" i="1"/>
  <c r="K333" i="1"/>
  <c r="J333" i="1"/>
  <c r="K233" i="1"/>
  <c r="J233" i="1"/>
  <c r="K561" i="1"/>
  <c r="J561" i="1"/>
  <c r="K252" i="1"/>
  <c r="J252" i="1"/>
  <c r="K779" i="1"/>
  <c r="J779" i="1"/>
  <c r="K392" i="1"/>
  <c r="J392" i="1"/>
  <c r="K355" i="1"/>
  <c r="J355" i="1"/>
  <c r="K4" i="1"/>
  <c r="J4" i="1"/>
  <c r="K2" i="1"/>
  <c r="J2" i="1"/>
  <c r="K744" i="1"/>
  <c r="J744" i="1"/>
  <c r="K400" i="1"/>
  <c r="J400" i="1"/>
  <c r="K321" i="1"/>
  <c r="J321" i="1"/>
  <c r="K580" i="1"/>
  <c r="J580" i="1"/>
  <c r="K332" i="1"/>
  <c r="J332" i="1"/>
  <c r="K263" i="1"/>
  <c r="J263" i="1"/>
  <c r="K44" i="1"/>
  <c r="J44" i="1"/>
  <c r="K95" i="1"/>
  <c r="J95" i="1"/>
  <c r="K104" i="1"/>
  <c r="J104" i="1"/>
  <c r="K116" i="1"/>
  <c r="J116" i="1"/>
  <c r="K665" i="1"/>
  <c r="J665" i="1"/>
  <c r="K260" i="1"/>
  <c r="J260" i="1"/>
  <c r="K461" i="1"/>
  <c r="J461" i="1"/>
  <c r="K578" i="1"/>
  <c r="J578" i="1"/>
  <c r="K323" i="1"/>
  <c r="J323" i="1"/>
  <c r="K295" i="1"/>
  <c r="J295" i="1"/>
  <c r="K347" i="1"/>
  <c r="J347" i="1"/>
  <c r="K790" i="1"/>
  <c r="J790" i="1"/>
  <c r="K713" i="1"/>
  <c r="J713" i="1"/>
  <c r="K541" i="1"/>
  <c r="J541" i="1"/>
  <c r="K22" i="1"/>
  <c r="J22" i="1"/>
  <c r="K83" i="1"/>
  <c r="J83" i="1"/>
  <c r="K33" i="1"/>
  <c r="J33" i="1"/>
  <c r="K169" i="1"/>
  <c r="J169" i="1"/>
  <c r="K205" i="1"/>
  <c r="J205" i="1"/>
  <c r="K106" i="1"/>
  <c r="J106" i="1"/>
  <c r="K516" i="1"/>
  <c r="J516" i="1"/>
  <c r="K597" i="1"/>
  <c r="J597" i="1"/>
  <c r="K608" i="1"/>
  <c r="J608" i="1"/>
  <c r="K550" i="1"/>
  <c r="J550" i="1"/>
  <c r="K279" i="1"/>
  <c r="J279" i="1"/>
  <c r="K545" i="1"/>
  <c r="J545" i="1"/>
  <c r="K733" i="1"/>
  <c r="J733" i="1"/>
  <c r="K208" i="1"/>
  <c r="J208" i="1"/>
  <c r="K325" i="1"/>
  <c r="J325" i="1"/>
  <c r="K632" i="1"/>
  <c r="J632" i="1"/>
  <c r="K480" i="1"/>
  <c r="J480" i="1"/>
  <c r="K762" i="1"/>
  <c r="J762" i="1"/>
  <c r="K599" i="1"/>
  <c r="J599" i="1"/>
  <c r="K622" i="1"/>
  <c r="J622" i="1"/>
  <c r="K773" i="1"/>
  <c r="J773" i="1"/>
  <c r="K438" i="1"/>
  <c r="J438" i="1"/>
  <c r="K476" i="1"/>
  <c r="J476" i="1"/>
  <c r="K371" i="1"/>
  <c r="J371" i="1"/>
  <c r="K615" i="1"/>
  <c r="J615" i="1"/>
  <c r="K510" i="1"/>
  <c r="J510" i="1"/>
  <c r="K428" i="1"/>
  <c r="J428" i="1"/>
  <c r="K689" i="1"/>
  <c r="J689" i="1"/>
  <c r="K247" i="1"/>
  <c r="J247" i="1"/>
  <c r="K631" i="1"/>
  <c r="J631" i="1"/>
  <c r="K401" i="1"/>
  <c r="J401" i="1"/>
  <c r="K601" i="1"/>
  <c r="J601" i="1"/>
  <c r="K729" i="1"/>
  <c r="J729" i="1"/>
  <c r="K309" i="1"/>
  <c r="J309" i="1"/>
  <c r="K298" i="1"/>
  <c r="J298" i="1"/>
  <c r="K192" i="1"/>
  <c r="J192" i="1"/>
  <c r="K112" i="1"/>
  <c r="J112" i="1"/>
  <c r="K175" i="1"/>
  <c r="J175" i="1"/>
  <c r="K262" i="1"/>
  <c r="J262" i="1"/>
  <c r="K162" i="1"/>
  <c r="J162" i="1"/>
  <c r="K583" i="1"/>
  <c r="J583" i="1"/>
  <c r="K206" i="1"/>
  <c r="J206" i="1"/>
  <c r="K278" i="1"/>
  <c r="J278" i="1"/>
  <c r="K528" i="1"/>
  <c r="J528" i="1"/>
  <c r="K605" i="1"/>
  <c r="J605" i="1"/>
  <c r="K791" i="1"/>
  <c r="J791" i="1"/>
  <c r="K607" i="1"/>
  <c r="J607" i="1"/>
  <c r="K650" i="1"/>
  <c r="J650" i="1"/>
  <c r="K226" i="1"/>
  <c r="J226" i="1"/>
  <c r="K338" i="1"/>
  <c r="J338" i="1"/>
  <c r="K638" i="1"/>
  <c r="J638" i="1"/>
  <c r="K269" i="1"/>
  <c r="J269" i="1"/>
  <c r="K736" i="1"/>
  <c r="J736" i="1"/>
  <c r="K407" i="1"/>
  <c r="J407" i="1"/>
  <c r="K376" i="1"/>
  <c r="J376" i="1"/>
  <c r="K512" i="1"/>
  <c r="J512" i="1"/>
  <c r="K424" i="1"/>
  <c r="J424" i="1"/>
  <c r="K492" i="1"/>
  <c r="J492" i="1"/>
  <c r="K357" i="1"/>
  <c r="J357" i="1"/>
  <c r="K216" i="1"/>
  <c r="J216" i="1"/>
  <c r="K203" i="1"/>
  <c r="J203" i="1"/>
  <c r="K145" i="1"/>
  <c r="J145" i="1"/>
  <c r="K286" i="1"/>
  <c r="J286" i="1"/>
  <c r="K441" i="1"/>
  <c r="J441" i="1"/>
  <c r="K143" i="1"/>
  <c r="J143" i="1"/>
  <c r="K416" i="1"/>
  <c r="J416" i="1"/>
  <c r="K359" i="1"/>
  <c r="J359" i="1"/>
  <c r="K548" i="1"/>
  <c r="J548" i="1"/>
  <c r="K381" i="1"/>
  <c r="J381" i="1"/>
  <c r="K52" i="1"/>
  <c r="J52" i="1"/>
  <c r="K224" i="1"/>
  <c r="J224" i="1"/>
  <c r="K365" i="1"/>
  <c r="J365" i="1"/>
  <c r="K551" i="1"/>
  <c r="J551" i="1"/>
  <c r="K240" i="1"/>
  <c r="J240" i="1"/>
  <c r="K228" i="1"/>
  <c r="J228" i="1"/>
  <c r="K366" i="1"/>
  <c r="J366" i="1"/>
  <c r="K670" i="1"/>
  <c r="J670" i="1"/>
  <c r="K422" i="1"/>
  <c r="J422" i="1"/>
  <c r="K758" i="1"/>
  <c r="J758" i="1"/>
  <c r="K458" i="1"/>
  <c r="K571" i="1"/>
  <c r="J571" i="1"/>
  <c r="K722" i="1"/>
  <c r="J722" i="1"/>
  <c r="K527" i="1"/>
  <c r="J527" i="1"/>
  <c r="K800" i="1"/>
  <c r="J800" i="1"/>
  <c r="K777" i="1"/>
  <c r="J777" i="1"/>
  <c r="K706" i="1"/>
  <c r="J706" i="1"/>
  <c r="K559" i="1"/>
  <c r="J559" i="1"/>
  <c r="K500" i="1"/>
  <c r="J500" i="1"/>
  <c r="K470" i="1"/>
  <c r="J470" i="1"/>
  <c r="K725" i="1"/>
  <c r="J725" i="1"/>
  <c r="K290" i="1"/>
  <c r="J290" i="1"/>
  <c r="K103" i="1"/>
  <c r="J103" i="1"/>
  <c r="K150" i="1"/>
  <c r="J150" i="1"/>
  <c r="K231" i="1"/>
  <c r="J231" i="1"/>
  <c r="K75" i="1"/>
  <c r="J75" i="1"/>
  <c r="K293" i="1"/>
  <c r="J293" i="1"/>
  <c r="K58" i="1"/>
  <c r="J58" i="1"/>
  <c r="K120" i="1"/>
  <c r="J120" i="1"/>
  <c r="K785" i="1"/>
  <c r="J785" i="1"/>
  <c r="K684" i="1"/>
  <c r="J684" i="1"/>
  <c r="K757" i="1"/>
  <c r="J757" i="1"/>
  <c r="K667" i="1"/>
  <c r="J667" i="1"/>
  <c r="K746" i="1"/>
  <c r="J746" i="1"/>
  <c r="K535" i="1"/>
  <c r="J535" i="1"/>
  <c r="K662" i="1"/>
  <c r="J662" i="1"/>
  <c r="K737" i="1"/>
  <c r="J737" i="1"/>
  <c r="K635" i="1"/>
  <c r="J635" i="1"/>
  <c r="J760" i="1"/>
  <c r="K668" i="1"/>
  <c r="J668" i="1"/>
  <c r="K248" i="1"/>
  <c r="J248" i="1"/>
  <c r="K581" i="1"/>
  <c r="J581" i="1"/>
  <c r="K326" i="1"/>
  <c r="J326" i="1"/>
  <c r="K339" i="1"/>
  <c r="J339" i="1"/>
  <c r="K695" i="1"/>
  <c r="J695" i="1"/>
  <c r="K604" i="1"/>
  <c r="J604" i="1"/>
  <c r="K410" i="1"/>
  <c r="J410" i="1"/>
  <c r="K531" i="1"/>
  <c r="J531" i="1"/>
  <c r="K453" i="1"/>
  <c r="J453" i="1"/>
  <c r="K799" i="1"/>
  <c r="J799" i="1"/>
  <c r="K764" i="1"/>
  <c r="J764" i="1"/>
  <c r="K749" i="1"/>
  <c r="J749" i="1"/>
  <c r="K636" i="1"/>
  <c r="J636" i="1"/>
  <c r="K539" i="1"/>
  <c r="J539" i="1"/>
  <c r="K588" i="1"/>
  <c r="J588" i="1"/>
  <c r="K641" i="1"/>
  <c r="J641" i="1"/>
  <c r="K324" i="1"/>
  <c r="J324" i="1"/>
  <c r="K748" i="1"/>
  <c r="J748" i="1"/>
  <c r="K319" i="1"/>
  <c r="J319" i="1"/>
  <c r="K234" i="1"/>
  <c r="J234" i="1"/>
  <c r="K328" i="1"/>
  <c r="J328" i="1"/>
  <c r="K67" i="1"/>
  <c r="J67" i="1"/>
  <c r="K85" i="1"/>
  <c r="J85" i="1"/>
  <c r="K136" i="1"/>
  <c r="J136" i="1"/>
  <c r="K127" i="1"/>
  <c r="J127" i="1"/>
  <c r="K18" i="1"/>
  <c r="J18" i="1"/>
  <c r="K214" i="1"/>
  <c r="J214" i="1"/>
  <c r="K89" i="1"/>
  <c r="J89" i="1"/>
  <c r="K30" i="1"/>
  <c r="J30" i="1"/>
  <c r="K306" i="1"/>
  <c r="J306" i="1"/>
  <c r="K188" i="1"/>
  <c r="J188" i="1"/>
  <c r="K242" i="1"/>
  <c r="J242" i="1"/>
  <c r="K161" i="1"/>
  <c r="J161" i="1"/>
  <c r="K222" i="1"/>
  <c r="J222" i="1"/>
  <c r="K723" i="1"/>
  <c r="J723" i="1"/>
  <c r="K171" i="1"/>
  <c r="J171" i="1"/>
  <c r="K142" i="1"/>
  <c r="J142" i="1"/>
  <c r="K300" i="1"/>
  <c r="J300" i="1"/>
  <c r="K8" i="1"/>
  <c r="J8" i="1"/>
  <c r="K40" i="1"/>
  <c r="J40" i="1"/>
  <c r="K100" i="1"/>
  <c r="J100" i="1"/>
  <c r="K11" i="1"/>
  <c r="J11" i="1"/>
  <c r="K728" i="1"/>
  <c r="J728" i="1"/>
  <c r="K486" i="1"/>
  <c r="J486" i="1"/>
  <c r="K547" i="1"/>
  <c r="J547" i="1"/>
  <c r="K464" i="1"/>
  <c r="J464" i="1"/>
  <c r="K354" i="1"/>
  <c r="J354" i="1"/>
  <c r="K307" i="1"/>
  <c r="J307" i="1"/>
  <c r="K708" i="1"/>
  <c r="J708" i="1"/>
  <c r="K291" i="1"/>
  <c r="J291" i="1"/>
  <c r="K787" i="1"/>
  <c r="J787" i="1"/>
  <c r="K651" i="1"/>
  <c r="J651" i="1"/>
  <c r="K432" i="1"/>
  <c r="J432" i="1"/>
  <c r="K639" i="1"/>
  <c r="J639" i="1"/>
  <c r="K6" i="1"/>
  <c r="J6" i="1"/>
  <c r="K740" i="1"/>
  <c r="J740" i="1"/>
  <c r="K369" i="1"/>
  <c r="J369" i="1"/>
  <c r="K348" i="1"/>
  <c r="J348" i="1"/>
  <c r="K394" i="1"/>
  <c r="J394" i="1"/>
  <c r="K481" i="1"/>
  <c r="J481" i="1"/>
  <c r="K232" i="1"/>
  <c r="J232" i="1"/>
  <c r="K41" i="1"/>
  <c r="J41" i="1"/>
  <c r="K80" i="1"/>
  <c r="J80" i="1"/>
  <c r="K99" i="1"/>
  <c r="J99" i="1"/>
  <c r="K173" i="1"/>
  <c r="J173" i="1"/>
  <c r="K649" i="1"/>
  <c r="J649" i="1"/>
  <c r="K352" i="1"/>
  <c r="J352" i="1"/>
  <c r="K412" i="1"/>
  <c r="J412" i="1"/>
  <c r="K613" i="1"/>
  <c r="J613" i="1"/>
  <c r="K385" i="1"/>
  <c r="J385" i="1"/>
  <c r="K704" i="1"/>
  <c r="J704" i="1"/>
  <c r="K439" i="1"/>
  <c r="J439" i="1"/>
  <c r="K739" i="1"/>
  <c r="J739" i="1"/>
  <c r="K774" i="1"/>
  <c r="J774" i="1"/>
  <c r="K496" i="1"/>
  <c r="J496" i="1"/>
  <c r="K17" i="1"/>
  <c r="J17" i="1"/>
  <c r="K92" i="1"/>
  <c r="J92" i="1"/>
  <c r="K73" i="1"/>
  <c r="J73" i="1"/>
  <c r="K158" i="1"/>
  <c r="J158" i="1"/>
  <c r="K296" i="1"/>
  <c r="J296" i="1"/>
  <c r="K389" i="1"/>
  <c r="J389" i="1"/>
  <c r="K408" i="1"/>
  <c r="J408" i="1"/>
  <c r="K570" i="1"/>
  <c r="J570" i="1"/>
  <c r="K533" i="1"/>
  <c r="J533" i="1"/>
  <c r="K660" i="1"/>
  <c r="J660" i="1"/>
  <c r="K451" i="1"/>
  <c r="J451" i="1"/>
  <c r="K610" i="1"/>
  <c r="J610" i="1"/>
  <c r="K654" i="1"/>
  <c r="J654" i="1"/>
  <c r="K152" i="1"/>
  <c r="J152" i="1"/>
  <c r="K344" i="1"/>
  <c r="J344" i="1"/>
  <c r="K331" i="1"/>
  <c r="J331" i="1"/>
  <c r="K471" i="1"/>
  <c r="J471" i="1"/>
  <c r="K715" i="1"/>
  <c r="J715" i="1"/>
  <c r="K761" i="1"/>
  <c r="J761" i="1"/>
  <c r="K592" i="1"/>
  <c r="J592" i="1"/>
  <c r="K629" i="1"/>
  <c r="J629" i="1"/>
  <c r="K317" i="1"/>
  <c r="J317" i="1"/>
  <c r="K282" i="1"/>
  <c r="J282" i="1"/>
  <c r="K230" i="1"/>
  <c r="J230" i="1"/>
  <c r="K614" i="1"/>
  <c r="J614" i="1"/>
  <c r="K397" i="1"/>
  <c r="J397" i="1"/>
  <c r="K425" i="1"/>
  <c r="J425" i="1"/>
  <c r="K698" i="1"/>
  <c r="J698" i="1"/>
  <c r="K301" i="1"/>
  <c r="J301" i="1"/>
  <c r="K630" i="1"/>
  <c r="J630" i="1"/>
  <c r="K414" i="1"/>
  <c r="J414" i="1"/>
  <c r="K572" i="1"/>
  <c r="J572" i="1"/>
  <c r="K678" i="1"/>
  <c r="J678" i="1"/>
  <c r="K445" i="1"/>
  <c r="J445" i="1"/>
  <c r="K48" i="1"/>
  <c r="J48" i="1"/>
  <c r="K87" i="1"/>
  <c r="J87" i="1"/>
  <c r="K135" i="1"/>
  <c r="J135" i="1"/>
  <c r="K311" i="1"/>
  <c r="J311" i="1"/>
  <c r="K146" i="1"/>
  <c r="J146" i="1"/>
  <c r="K227" i="1"/>
  <c r="J227" i="1"/>
  <c r="K626" i="1"/>
  <c r="J626" i="1"/>
  <c r="K313" i="1"/>
  <c r="J313" i="1"/>
  <c r="K351" i="1"/>
  <c r="J351" i="1"/>
  <c r="K184" i="1"/>
  <c r="J184" i="1"/>
  <c r="K440" i="1"/>
  <c r="J440" i="1"/>
  <c r="K53" i="1"/>
  <c r="J53" i="1"/>
  <c r="K743" i="1"/>
  <c r="J743" i="1"/>
  <c r="K522" i="1"/>
  <c r="J522" i="1"/>
  <c r="K553" i="1"/>
  <c r="J553" i="1"/>
  <c r="K789" i="1"/>
  <c r="J789" i="1"/>
  <c r="K584" i="1"/>
  <c r="J584" i="1"/>
  <c r="K627" i="1"/>
  <c r="J627" i="1"/>
  <c r="K265" i="1"/>
  <c r="J265" i="1"/>
  <c r="K297" i="1"/>
  <c r="J297" i="1"/>
  <c r="K645" i="1"/>
  <c r="J645" i="1"/>
  <c r="K398" i="1"/>
  <c r="J398" i="1"/>
  <c r="K683" i="1"/>
  <c r="J683" i="1"/>
  <c r="K427" i="1"/>
  <c r="J427" i="1"/>
  <c r="K370" i="1"/>
  <c r="J370" i="1"/>
  <c r="K469" i="1"/>
  <c r="J469" i="1"/>
  <c r="K437" i="1"/>
  <c r="J437" i="1"/>
  <c r="K491" i="1"/>
  <c r="J491" i="1"/>
  <c r="K406" i="1"/>
  <c r="J406" i="1"/>
  <c r="K276" i="1"/>
  <c r="J276" i="1"/>
  <c r="K215" i="1"/>
  <c r="J215" i="1"/>
  <c r="K183" i="1"/>
  <c r="J183" i="1"/>
  <c r="K346" i="1"/>
  <c r="J346" i="1"/>
  <c r="K420" i="1"/>
  <c r="J420" i="1"/>
  <c r="K121" i="1"/>
  <c r="J121" i="1"/>
  <c r="K335" i="1"/>
  <c r="J335" i="1"/>
  <c r="K342" i="1"/>
  <c r="J342" i="1"/>
  <c r="K508" i="1"/>
  <c r="J508" i="1"/>
  <c r="K280" i="1"/>
  <c r="J280" i="1"/>
  <c r="K74" i="1"/>
  <c r="J74" i="1"/>
  <c r="K196" i="1"/>
  <c r="J196" i="1"/>
  <c r="K377" i="1"/>
  <c r="J377" i="1"/>
  <c r="K148" i="1"/>
  <c r="J148" i="1"/>
  <c r="K268" i="1"/>
  <c r="J268" i="1"/>
  <c r="K303" i="1"/>
  <c r="J303" i="1"/>
  <c r="K253" i="1"/>
  <c r="J253" i="1"/>
  <c r="K258" i="1"/>
  <c r="J258" i="1"/>
  <c r="K289" i="1"/>
  <c r="J289" i="1"/>
  <c r="K653" i="1"/>
  <c r="J653" i="1"/>
  <c r="K456" i="1"/>
  <c r="J456" i="1"/>
  <c r="K378" i="1"/>
  <c r="J378" i="1"/>
  <c r="K775" i="1"/>
  <c r="J775" i="1"/>
  <c r="K337" i="1"/>
  <c r="J337" i="1"/>
  <c r="K450" i="1"/>
  <c r="J450" i="1"/>
  <c r="K720" i="1"/>
  <c r="J720" i="1"/>
  <c r="K368" i="1"/>
  <c r="J368" i="1"/>
  <c r="K802" i="1"/>
  <c r="J802" i="1"/>
  <c r="K776" i="1"/>
  <c r="J776" i="1"/>
  <c r="K679" i="1"/>
  <c r="J679" i="1"/>
  <c r="K538" i="1"/>
  <c r="J538" i="1"/>
  <c r="K430" i="1"/>
  <c r="J430" i="1"/>
  <c r="K504" i="1"/>
  <c r="J504" i="1"/>
  <c r="K703" i="1"/>
  <c r="J703" i="1"/>
  <c r="K235" i="1"/>
  <c r="J235" i="1"/>
  <c r="K84" i="1"/>
  <c r="J84" i="1"/>
  <c r="K138" i="1"/>
  <c r="J138" i="1"/>
  <c r="K194" i="1"/>
  <c r="J194" i="1"/>
  <c r="K71" i="1"/>
  <c r="J71" i="1"/>
  <c r="K367" i="1"/>
  <c r="J367" i="1"/>
  <c r="K101" i="1"/>
  <c r="J101" i="1"/>
  <c r="K187" i="1"/>
  <c r="J187" i="1"/>
  <c r="K747" i="1"/>
  <c r="J747" i="1"/>
  <c r="K637" i="1"/>
  <c r="J637" i="1"/>
  <c r="K719" i="1"/>
  <c r="J719" i="1"/>
  <c r="K603" i="1"/>
  <c r="J603" i="1"/>
  <c r="K717" i="1"/>
  <c r="J717" i="1"/>
  <c r="K532" i="1"/>
  <c r="J532" i="1"/>
  <c r="K634" i="1"/>
  <c r="J634" i="1"/>
  <c r="K759" i="1"/>
  <c r="J759" i="1"/>
  <c r="K624" i="1"/>
  <c r="J624" i="1"/>
  <c r="K730" i="1"/>
  <c r="J730" i="1"/>
  <c r="K497" i="1"/>
  <c r="J497" i="1"/>
  <c r="K191" i="1"/>
  <c r="J191" i="1"/>
  <c r="K596" i="1"/>
  <c r="J596" i="1"/>
  <c r="K261" i="1"/>
  <c r="J261" i="1"/>
  <c r="K382" i="1"/>
  <c r="J382" i="1"/>
  <c r="K362" i="1"/>
  <c r="J362" i="1"/>
  <c r="K336" i="1"/>
  <c r="J336" i="1"/>
  <c r="K600" i="1"/>
  <c r="J600" i="1"/>
  <c r="K460" i="1"/>
  <c r="J460" i="1"/>
  <c r="K436" i="1"/>
  <c r="J436" i="1"/>
  <c r="K646" i="1"/>
  <c r="J646" i="1"/>
  <c r="K616" i="1"/>
  <c r="J616" i="1"/>
  <c r="K796" i="1"/>
  <c r="J796" i="1"/>
  <c r="K287" i="1"/>
  <c r="J287" i="1"/>
  <c r="K707" i="1"/>
  <c r="J707" i="1"/>
  <c r="K769" i="1"/>
  <c r="J769" i="1"/>
  <c r="K594" i="1"/>
  <c r="J594" i="1"/>
  <c r="K536" i="1"/>
  <c r="J536" i="1"/>
  <c r="K546" i="1"/>
  <c r="J546" i="1"/>
  <c r="K620" i="1"/>
  <c r="J620" i="1"/>
  <c r="K405" i="1"/>
  <c r="J405" i="1"/>
  <c r="K690" i="1"/>
  <c r="J690" i="1"/>
  <c r="K312" i="1"/>
  <c r="J312" i="1"/>
  <c r="K202" i="1"/>
  <c r="J202" i="1"/>
  <c r="K404" i="1"/>
  <c r="J404" i="1"/>
  <c r="K217" i="1"/>
  <c r="J217" i="1"/>
  <c r="K76" i="1"/>
  <c r="J76" i="1"/>
  <c r="K69" i="1"/>
  <c r="J69" i="1"/>
  <c r="K144" i="1"/>
  <c r="J144" i="1"/>
  <c r="K113" i="1"/>
  <c r="J113" i="1"/>
  <c r="K23" i="1"/>
  <c r="J23" i="1"/>
  <c r="K156" i="1"/>
  <c r="J156" i="1"/>
  <c r="K77" i="1"/>
  <c r="J77" i="1"/>
  <c r="K25" i="1"/>
  <c r="J25" i="1"/>
  <c r="K299" i="1"/>
  <c r="J299" i="1"/>
  <c r="K176" i="1"/>
  <c r="J176" i="1"/>
  <c r="K190" i="1"/>
  <c r="J190" i="1"/>
  <c r="K166" i="1"/>
  <c r="J166" i="1"/>
  <c r="K207" i="1"/>
  <c r="J207" i="1"/>
  <c r="K132" i="1"/>
  <c r="J132" i="1"/>
  <c r="K55" i="1"/>
  <c r="J55" i="1"/>
  <c r="K117" i="1"/>
  <c r="J117" i="1"/>
  <c r="K210" i="1"/>
  <c r="J210" i="1"/>
  <c r="K386" i="1"/>
  <c r="J386" i="1"/>
  <c r="K656" i="1"/>
  <c r="J656" i="1"/>
  <c r="K149" i="1"/>
  <c r="J149" i="1"/>
  <c r="K163" i="1"/>
  <c r="J163" i="1"/>
  <c r="K393" i="1"/>
  <c r="J393" i="1"/>
  <c r="K39" i="1"/>
  <c r="J39" i="1"/>
  <c r="K51" i="1"/>
  <c r="J51" i="1"/>
  <c r="K36" i="1"/>
  <c r="J36" i="1"/>
  <c r="K81" i="1"/>
  <c r="J81" i="1"/>
  <c r="K21" i="1"/>
  <c r="J21" i="1"/>
  <c r="K696" i="1"/>
  <c r="J696" i="1"/>
  <c r="K446" i="1"/>
  <c r="J446" i="1"/>
  <c r="K459" i="1"/>
  <c r="J459" i="1"/>
  <c r="K499" i="1"/>
  <c r="J499" i="1"/>
  <c r="K315" i="1"/>
  <c r="J315" i="1"/>
  <c r="K239" i="1"/>
  <c r="J239" i="1"/>
  <c r="K274" i="1"/>
  <c r="J274" i="1"/>
  <c r="K577" i="1"/>
  <c r="J577" i="1"/>
  <c r="K549" i="1"/>
  <c r="J549" i="1"/>
  <c r="K272" i="1"/>
  <c r="J272" i="1"/>
  <c r="K766" i="1"/>
  <c r="J766" i="1"/>
  <c r="K560" i="1"/>
  <c r="J560" i="1"/>
  <c r="K334" i="1"/>
  <c r="J334" i="1"/>
  <c r="K220" i="1"/>
  <c r="J220" i="1"/>
  <c r="K26" i="1"/>
  <c r="J26" i="1"/>
  <c r="K32" i="1"/>
  <c r="J32" i="1"/>
  <c r="K29" i="1"/>
  <c r="J29" i="1"/>
  <c r="K5" i="1"/>
  <c r="J5" i="1"/>
  <c r="K644" i="1"/>
  <c r="J644" i="1"/>
  <c r="K341" i="1"/>
  <c r="J341" i="1"/>
  <c r="K174" i="1"/>
  <c r="J174" i="1"/>
  <c r="K123" i="1"/>
  <c r="J123" i="1"/>
  <c r="K731" i="1"/>
  <c r="J731" i="1"/>
  <c r="K435" i="1"/>
  <c r="J435" i="1"/>
  <c r="K310" i="1"/>
  <c r="J310" i="1"/>
  <c r="K452" i="1"/>
  <c r="J452" i="1"/>
  <c r="K478" i="1"/>
  <c r="J478" i="1"/>
  <c r="K201" i="1"/>
  <c r="J201" i="1"/>
  <c r="K42" i="1"/>
  <c r="J42" i="1"/>
  <c r="K72" i="1"/>
  <c r="J72" i="1"/>
  <c r="K94" i="1"/>
  <c r="J94" i="1"/>
  <c r="K47" i="1"/>
  <c r="J47" i="1"/>
  <c r="K56" i="1"/>
  <c r="J56" i="1"/>
  <c r="K772" i="1"/>
  <c r="J772" i="1"/>
  <c r="K119" i="1"/>
  <c r="J119" i="1"/>
  <c r="K65" i="1"/>
  <c r="J65" i="1"/>
  <c r="K591" i="1"/>
  <c r="J591" i="1"/>
  <c r="K316" i="1"/>
  <c r="J316" i="1"/>
  <c r="K374" i="1"/>
  <c r="J374" i="1"/>
  <c r="K625" i="1"/>
  <c r="J625" i="1"/>
  <c r="K391" i="1"/>
  <c r="J391" i="1"/>
  <c r="K521" i="1"/>
  <c r="J521" i="1"/>
  <c r="K327" i="1"/>
  <c r="J327" i="1"/>
  <c r="K711" i="1"/>
  <c r="J711" i="1"/>
  <c r="K751" i="1"/>
  <c r="J751" i="1"/>
  <c r="K518" i="1"/>
  <c r="J518" i="1"/>
  <c r="K31" i="1"/>
  <c r="J31" i="1"/>
  <c r="K9" i="1"/>
  <c r="J9" i="1"/>
  <c r="K15" i="1"/>
  <c r="J15" i="1"/>
  <c r="K68" i="1"/>
  <c r="J68" i="1"/>
  <c r="K130" i="1"/>
  <c r="J130" i="1"/>
  <c r="K125" i="1"/>
  <c r="J125" i="1"/>
  <c r="K245" i="1"/>
  <c r="J245" i="1"/>
  <c r="K212" i="1"/>
  <c r="J212" i="1"/>
  <c r="K415" i="1"/>
  <c r="J415" i="1"/>
  <c r="K507" i="1"/>
  <c r="J507" i="1"/>
  <c r="K582" i="1"/>
  <c r="J582" i="1"/>
  <c r="K567" i="1"/>
  <c r="J567" i="1"/>
  <c r="K519" i="1"/>
  <c r="J519" i="1"/>
  <c r="K612" i="1"/>
  <c r="J612" i="1"/>
  <c r="K640" i="1"/>
  <c r="J640" i="1"/>
  <c r="K170" i="1"/>
  <c r="J170" i="1"/>
  <c r="K340" i="1"/>
  <c r="J340" i="1"/>
  <c r="K794" i="1"/>
  <c r="J794" i="1"/>
  <c r="K705" i="1"/>
  <c r="J705" i="1"/>
  <c r="K350" i="1"/>
  <c r="J350" i="1"/>
  <c r="K455" i="1"/>
  <c r="J455" i="1"/>
  <c r="K666" i="1"/>
  <c r="J666" i="1"/>
  <c r="K738" i="1"/>
  <c r="J738" i="1"/>
  <c r="K595" i="1"/>
  <c r="J595" i="1"/>
  <c r="K677" i="1"/>
  <c r="J677" i="1"/>
  <c r="K417" i="1"/>
  <c r="J417" i="1"/>
  <c r="K275" i="1"/>
  <c r="J275" i="1"/>
  <c r="K525" i="1"/>
  <c r="J525" i="1"/>
  <c r="K153" i="1"/>
  <c r="J153" i="1"/>
  <c r="K568" i="1"/>
  <c r="J568" i="1"/>
  <c r="K467" i="1"/>
  <c r="J467" i="1"/>
  <c r="K411" i="1"/>
  <c r="J411" i="1"/>
  <c r="K693" i="1"/>
  <c r="J693" i="1"/>
  <c r="K358" i="1"/>
  <c r="J358" i="1"/>
  <c r="K617" i="1"/>
  <c r="J617" i="1"/>
  <c r="K390" i="1"/>
  <c r="J390" i="1"/>
  <c r="K501" i="1"/>
  <c r="J501" i="1"/>
  <c r="K692" i="1"/>
  <c r="J692" i="1"/>
  <c r="K454" i="1"/>
  <c r="J454" i="1"/>
  <c r="K182" i="1"/>
  <c r="J182" i="1"/>
  <c r="K107" i="1"/>
  <c r="J107" i="1"/>
  <c r="K141" i="1"/>
  <c r="J141" i="1"/>
  <c r="K270" i="1"/>
  <c r="J270" i="1"/>
  <c r="K186" i="1"/>
  <c r="J186" i="1"/>
  <c r="K223" i="1"/>
  <c r="J223" i="1"/>
  <c r="K563" i="1"/>
  <c r="J563" i="1"/>
  <c r="K314" i="1"/>
  <c r="J314" i="1"/>
  <c r="K284" i="1"/>
  <c r="J284" i="1"/>
  <c r="K735" i="1"/>
  <c r="J735" i="1"/>
  <c r="K448" i="1"/>
  <c r="J448" i="1"/>
  <c r="K585" i="1"/>
  <c r="J585" i="1"/>
  <c r="K788" i="1"/>
  <c r="J788" i="1"/>
  <c r="K652" i="1"/>
  <c r="J652" i="1"/>
  <c r="K513" i="1"/>
  <c r="J513" i="1"/>
  <c r="K277" i="1"/>
  <c r="J277" i="1"/>
  <c r="K444" i="1"/>
  <c r="J444" i="1"/>
  <c r="K643" i="1"/>
  <c r="J643" i="1"/>
  <c r="K569" i="1"/>
  <c r="J569" i="1"/>
  <c r="K655" i="1"/>
  <c r="J655" i="1"/>
  <c r="K474" i="1"/>
  <c r="J474" i="1"/>
  <c r="K387" i="1"/>
  <c r="J387" i="1"/>
  <c r="K540" i="1"/>
  <c r="J540" i="1"/>
  <c r="K523" i="1"/>
  <c r="J523" i="1"/>
  <c r="K573" i="1"/>
  <c r="J573" i="1"/>
  <c r="K505" i="1"/>
  <c r="J505" i="1"/>
  <c r="K281" i="1"/>
  <c r="J281" i="1"/>
  <c r="K267" i="1"/>
  <c r="J267" i="1"/>
  <c r="K305" i="1"/>
  <c r="J305" i="1"/>
  <c r="K466" i="1"/>
  <c r="J466" i="1"/>
  <c r="K472" i="1"/>
  <c r="J472" i="1"/>
  <c r="K128" i="1"/>
  <c r="J128" i="1"/>
  <c r="K413" i="1"/>
  <c r="J413" i="1"/>
  <c r="K308" i="1"/>
  <c r="J308" i="1"/>
  <c r="K602" i="1"/>
  <c r="J602" i="1"/>
  <c r="K288" i="1"/>
  <c r="J288" i="1"/>
  <c r="K88" i="1"/>
  <c r="J88" i="1"/>
  <c r="K140" i="1"/>
  <c r="J140" i="1"/>
  <c r="K395" i="1"/>
  <c r="J395" i="1"/>
  <c r="K219" i="1"/>
  <c r="J219" i="1"/>
  <c r="K489" i="1"/>
  <c r="J489" i="1"/>
  <c r="K517" i="1"/>
  <c r="J517" i="1"/>
  <c r="K710" i="1"/>
  <c r="J710" i="1"/>
  <c r="K593" i="1"/>
  <c r="J593" i="1"/>
  <c r="K566" i="1"/>
  <c r="J566" i="1"/>
  <c r="K669" i="1"/>
  <c r="J669" i="1"/>
  <c r="K426" i="1"/>
  <c r="J426" i="1"/>
  <c r="K396" i="1"/>
  <c r="J396" i="1"/>
  <c r="K781" i="1"/>
  <c r="J781" i="1"/>
  <c r="K364" i="1"/>
  <c r="J364" i="1"/>
  <c r="K564" i="1"/>
  <c r="J564" i="1"/>
  <c r="K659" i="1"/>
  <c r="J659" i="1"/>
  <c r="K294" i="1"/>
  <c r="J294" i="1"/>
  <c r="K795" i="1"/>
  <c r="J795" i="1"/>
  <c r="K782" i="1"/>
  <c r="J782" i="1"/>
  <c r="K691" i="1"/>
  <c r="J691" i="1"/>
  <c r="K419" i="1"/>
  <c r="J419" i="1"/>
  <c r="K511" i="1"/>
  <c r="J511" i="1"/>
  <c r="K463" i="1"/>
  <c r="J463" i="1"/>
  <c r="K718" i="1"/>
  <c r="J718" i="1"/>
  <c r="K302" i="1"/>
  <c r="J302" i="1"/>
  <c r="K97" i="1"/>
  <c r="J97" i="1"/>
  <c r="K160" i="1"/>
  <c r="J160" i="1"/>
  <c r="K236" i="1"/>
  <c r="J236" i="1"/>
  <c r="K122" i="1"/>
  <c r="J122" i="1"/>
  <c r="K218" i="1"/>
  <c r="J218" i="1"/>
  <c r="K59" i="1"/>
  <c r="J59" i="1"/>
  <c r="K114" i="1"/>
  <c r="J114" i="1"/>
  <c r="K734" i="1"/>
  <c r="J734" i="1"/>
  <c r="K619" i="1"/>
  <c r="J619" i="1"/>
  <c r="K700" i="1"/>
  <c r="J700" i="1"/>
  <c r="K687" i="1"/>
  <c r="J687" i="1"/>
  <c r="K741" i="1"/>
  <c r="J741" i="1"/>
  <c r="K473" i="1"/>
  <c r="J473" i="1"/>
  <c r="K681" i="1"/>
  <c r="J681" i="1"/>
  <c r="K783" i="1"/>
  <c r="J783" i="1"/>
  <c r="K742" i="1"/>
  <c r="J742" i="1"/>
  <c r="K672" i="1"/>
  <c r="J672" i="1"/>
  <c r="K712" i="1"/>
  <c r="J712" i="1"/>
  <c r="K133" i="1"/>
  <c r="J133" i="1"/>
  <c r="K663" i="1"/>
  <c r="J663" i="1"/>
  <c r="K179" i="1"/>
  <c r="J179" i="1"/>
  <c r="K273" i="1"/>
  <c r="J273" i="1"/>
  <c r="K229" i="1"/>
  <c r="J229" i="1"/>
  <c r="K283" i="1"/>
  <c r="J283" i="1"/>
  <c r="K701" i="1"/>
  <c r="J701" i="1"/>
  <c r="K380" i="1"/>
  <c r="J380" i="1"/>
  <c r="K200" i="1"/>
  <c r="J200" i="1"/>
  <c r="K556" i="1"/>
  <c r="J556" i="1"/>
  <c r="K266" i="1"/>
  <c r="J266" i="1"/>
  <c r="K798" i="1"/>
  <c r="J798" i="1"/>
  <c r="K250" i="1"/>
  <c r="J250" i="1"/>
  <c r="K697" i="1"/>
  <c r="J697" i="1"/>
  <c r="K726" i="1"/>
  <c r="J726" i="1"/>
  <c r="K628" i="1"/>
  <c r="J628" i="1"/>
  <c r="K482" i="1"/>
  <c r="J482" i="1"/>
  <c r="K487" i="1"/>
  <c r="J487" i="1"/>
  <c r="K657" i="1"/>
  <c r="J657" i="1"/>
  <c r="K493" i="1"/>
  <c r="J493" i="1"/>
  <c r="K673" i="1"/>
  <c r="J673" i="1"/>
  <c r="K360" i="1"/>
  <c r="J360" i="1"/>
  <c r="K322" i="1"/>
  <c r="J322" i="1"/>
  <c r="K574" i="1"/>
  <c r="J574" i="1"/>
  <c r="K225" i="1"/>
  <c r="J225" i="1"/>
  <c r="K63" i="1"/>
  <c r="J63" i="1"/>
  <c r="K70" i="1"/>
  <c r="J70" i="1"/>
  <c r="K137" i="1"/>
  <c r="J137" i="1"/>
  <c r="K60" i="1"/>
  <c r="J60" i="1"/>
  <c r="K14" i="1"/>
  <c r="J14" i="1"/>
  <c r="K93" i="1"/>
  <c r="J93" i="1"/>
  <c r="K54" i="1"/>
  <c r="J54" i="1"/>
  <c r="K27" i="1"/>
  <c r="J27" i="1"/>
  <c r="K318" i="1"/>
  <c r="J318" i="1"/>
  <c r="K157" i="1"/>
  <c r="J157" i="1"/>
  <c r="K167" i="1"/>
  <c r="J167" i="1"/>
  <c r="K172" i="1"/>
  <c r="J172" i="1"/>
  <c r="K256" i="1"/>
  <c r="J256" i="1"/>
  <c r="K642" i="1"/>
  <c r="J642" i="1"/>
  <c r="K50" i="1"/>
  <c r="J50" i="1"/>
  <c r="K98" i="1"/>
  <c r="J98" i="1"/>
  <c r="K164" i="1"/>
  <c r="J164" i="1"/>
  <c r="K147" i="1"/>
  <c r="J147" i="1"/>
  <c r="K57" i="1"/>
  <c r="J57" i="1"/>
  <c r="K28" i="1"/>
  <c r="J28" i="1"/>
  <c r="K79" i="1"/>
  <c r="J79" i="1"/>
  <c r="K13" i="1"/>
  <c r="J13" i="1"/>
  <c r="K709" i="1"/>
  <c r="J709" i="1"/>
  <c r="K485" i="1"/>
  <c r="J485" i="1"/>
  <c r="K555" i="1"/>
  <c r="J555" i="1"/>
  <c r="K579" i="1"/>
  <c r="J579" i="1"/>
  <c r="K447" i="1"/>
  <c r="J447" i="1"/>
  <c r="K353" i="1"/>
  <c r="J353" i="1"/>
  <c r="K586" i="1"/>
  <c r="J586" i="1"/>
  <c r="K449" i="1"/>
  <c r="J449" i="1"/>
  <c r="K484" i="1"/>
  <c r="J484" i="1"/>
  <c r="K244" i="1"/>
  <c r="J244" i="1"/>
  <c r="K763" i="1"/>
  <c r="J763" i="1"/>
  <c r="K388" i="1"/>
  <c r="J388" i="1"/>
  <c r="K372" i="1"/>
  <c r="J372" i="1"/>
  <c r="K784" i="1"/>
  <c r="J784" i="1"/>
  <c r="K86" i="1"/>
  <c r="J86" i="1"/>
  <c r="K62" i="1"/>
  <c r="J62" i="1"/>
  <c r="K159" i="1"/>
  <c r="J159" i="1"/>
  <c r="K35" i="1"/>
  <c r="J35" i="1"/>
  <c r="K750" i="1"/>
  <c r="J750" i="1"/>
  <c r="K442" i="1"/>
  <c r="J442" i="1"/>
  <c r="K399" i="1"/>
  <c r="J399" i="1"/>
  <c r="K483" i="1"/>
  <c r="J483" i="1"/>
  <c r="K542" i="1"/>
  <c r="J542" i="1"/>
  <c r="K257" i="1"/>
  <c r="J257" i="1"/>
  <c r="K38" i="1"/>
  <c r="J38" i="1"/>
  <c r="K66" i="1"/>
  <c r="J66" i="1"/>
  <c r="K96" i="1"/>
  <c r="J96" i="1"/>
  <c r="K43" i="1"/>
  <c r="J43" i="1"/>
  <c r="K151" i="1"/>
  <c r="J151" i="1"/>
  <c r="K562" i="1"/>
  <c r="J562" i="1"/>
  <c r="K259" i="1"/>
  <c r="J259" i="1"/>
  <c r="K373" i="1"/>
  <c r="J373" i="1"/>
  <c r="K598" i="1"/>
  <c r="J598" i="1"/>
  <c r="K434" i="1"/>
  <c r="J434" i="1"/>
  <c r="K675" i="1"/>
  <c r="J675" i="1"/>
  <c r="K488" i="1"/>
  <c r="J488" i="1"/>
  <c r="K754" i="1"/>
  <c r="J754" i="1"/>
  <c r="K767" i="1"/>
  <c r="J767" i="1"/>
  <c r="K658" i="1"/>
  <c r="J658" i="1"/>
  <c r="K37" i="1"/>
  <c r="J37" i="1"/>
  <c r="K7" i="1"/>
  <c r="J7" i="1"/>
  <c r="K12" i="1"/>
  <c r="J12" i="1"/>
  <c r="K82" i="1"/>
  <c r="J82" i="1"/>
  <c r="K111" i="1"/>
  <c r="J111" i="1"/>
  <c r="K197" i="1"/>
  <c r="J197" i="1"/>
  <c r="K241" i="1"/>
  <c r="J241" i="1"/>
  <c r="K249" i="1"/>
  <c r="J249" i="1"/>
  <c r="K457" i="1"/>
  <c r="J457" i="1"/>
  <c r="K611" i="1"/>
  <c r="J611" i="1"/>
  <c r="K543" i="1"/>
  <c r="J543" i="1"/>
  <c r="K587" i="1"/>
  <c r="J587" i="1"/>
  <c r="K554" i="1"/>
  <c r="J554" i="1"/>
  <c r="K664" i="1"/>
  <c r="J664" i="1"/>
  <c r="K529" i="1"/>
  <c r="J529" i="1"/>
  <c r="K154" i="1"/>
  <c r="J154" i="1"/>
  <c r="K246" i="1"/>
  <c r="J246" i="1"/>
  <c r="K793" i="1"/>
  <c r="J793" i="1"/>
  <c r="K714" i="1"/>
  <c r="J714" i="1"/>
  <c r="K558" i="1"/>
  <c r="J558" i="1"/>
  <c r="K465" i="1"/>
  <c r="J465" i="1"/>
  <c r="K589" i="1"/>
  <c r="J589" i="1"/>
  <c r="K765" i="1"/>
  <c r="J765" i="1"/>
  <c r="K609" i="1"/>
  <c r="J609" i="1"/>
  <c r="K375" i="1"/>
  <c r="J375" i="1"/>
  <c r="K237" i="1"/>
  <c r="J237" i="1"/>
  <c r="K118" i="1"/>
  <c r="J118" i="1"/>
  <c r="K105" i="1"/>
  <c r="J105" i="1"/>
  <c r="K623" i="1"/>
  <c r="J623" i="1"/>
  <c r="K462" i="1"/>
  <c r="J462" i="1"/>
  <c r="K403" i="1"/>
  <c r="J403" i="1"/>
  <c r="K686" i="1"/>
  <c r="J686" i="1"/>
  <c r="K409" i="1"/>
  <c r="J409" i="1"/>
  <c r="K676" i="1"/>
  <c r="J676" i="1"/>
  <c r="K384" i="1"/>
  <c r="J384" i="1"/>
  <c r="K490" i="1"/>
  <c r="J490" i="1"/>
  <c r="K699" i="1"/>
  <c r="J699" i="1"/>
  <c r="K503" i="1"/>
  <c r="J503" i="1"/>
  <c r="K90" i="1"/>
  <c r="J90" i="1"/>
  <c r="K34" i="1"/>
  <c r="J34" i="1"/>
  <c r="K129" i="1"/>
  <c r="J129" i="1"/>
  <c r="K185" i="1"/>
  <c r="J185" i="1"/>
  <c r="K131" i="1"/>
  <c r="J131" i="1"/>
  <c r="K180" i="1"/>
  <c r="J180" i="1"/>
  <c r="K429" i="1"/>
  <c r="J429" i="1"/>
  <c r="K292" i="1"/>
  <c r="J292" i="1"/>
  <c r="K204" i="1"/>
  <c r="J204" i="1"/>
  <c r="J509" i="1" l="1"/>
  <c r="K621" i="1"/>
  <c r="K514" i="1"/>
  <c r="K552" i="1"/>
  <c r="K544" i="1"/>
  <c r="J792" i="1"/>
</calcChain>
</file>

<file path=xl/sharedStrings.xml><?xml version="1.0" encoding="utf-8"?>
<sst xmlns="http://schemas.openxmlformats.org/spreadsheetml/2006/main" count="5196" uniqueCount="83">
  <si>
    <t>Market</t>
  </si>
  <si>
    <t>Brand</t>
  </si>
  <si>
    <t>Originating Country</t>
  </si>
  <si>
    <t>Segment (Volume/Premium/Luxury)</t>
  </si>
  <si>
    <t>Powertrain focus (EV only / All)</t>
  </si>
  <si>
    <t>OEM Type</t>
  </si>
  <si>
    <t>Period</t>
  </si>
  <si>
    <t>Sales</t>
  </si>
  <si>
    <t>Unique Visitors (dedupe)</t>
  </si>
  <si>
    <t>Visits to sale (UV)</t>
  </si>
  <si>
    <t>Conversion rate (UV)</t>
  </si>
  <si>
    <t>France</t>
  </si>
  <si>
    <t>Alfa Romeo</t>
  </si>
  <si>
    <t>Italy</t>
  </si>
  <si>
    <t>Premium</t>
  </si>
  <si>
    <t>All</t>
  </si>
  <si>
    <t>Traditional OEM</t>
  </si>
  <si>
    <t>Germany</t>
  </si>
  <si>
    <t>Spain</t>
  </si>
  <si>
    <t>UK</t>
  </si>
  <si>
    <t>Alpine</t>
  </si>
  <si>
    <t>Volume</t>
  </si>
  <si>
    <t>Audi</t>
  </si>
  <si>
    <t>BMW</t>
  </si>
  <si>
    <t>BYD Auto</t>
  </si>
  <si>
    <t>China</t>
  </si>
  <si>
    <t>Disrupter OEM</t>
  </si>
  <si>
    <t>Citroen</t>
  </si>
  <si>
    <t>CUPRA</t>
  </si>
  <si>
    <t>Dacia</t>
  </si>
  <si>
    <t>Romania</t>
  </si>
  <si>
    <t>DS</t>
  </si>
  <si>
    <t>Ferrari</t>
  </si>
  <si>
    <t>Luxury</t>
  </si>
  <si>
    <t>Fiat</t>
  </si>
  <si>
    <t>Ford</t>
  </si>
  <si>
    <t>United States</t>
  </si>
  <si>
    <t>Genesis</t>
  </si>
  <si>
    <t>South Korea</t>
  </si>
  <si>
    <t>Honda</t>
  </si>
  <si>
    <t>Japan</t>
  </si>
  <si>
    <t>Hyundai</t>
  </si>
  <si>
    <t>Jaguar</t>
  </si>
  <si>
    <t>United Kingdom</t>
  </si>
  <si>
    <t>Jeep</t>
  </si>
  <si>
    <t>KGM</t>
  </si>
  <si>
    <t>Kia</t>
  </si>
  <si>
    <t>Lamborghini</t>
  </si>
  <si>
    <t>Land Rover</t>
  </si>
  <si>
    <t>Lexus</t>
  </si>
  <si>
    <t>Lotus</t>
  </si>
  <si>
    <t>Maserati</t>
  </si>
  <si>
    <t>Mazda</t>
  </si>
  <si>
    <t>Mercedes-Benz</t>
  </si>
  <si>
    <t>MG</t>
  </si>
  <si>
    <t>MINI</t>
  </si>
  <si>
    <t>Nissan</t>
  </si>
  <si>
    <t>Omoda</t>
  </si>
  <si>
    <t>Opel</t>
  </si>
  <si>
    <t>Peugeot</t>
  </si>
  <si>
    <t>Polestar</t>
  </si>
  <si>
    <t>Sweden</t>
  </si>
  <si>
    <t>EV only</t>
  </si>
  <si>
    <t>Porsche</t>
  </si>
  <si>
    <t>Renault</t>
  </si>
  <si>
    <t>SEAT</t>
  </si>
  <si>
    <t>Skoda</t>
  </si>
  <si>
    <t>Czech Republic</t>
  </si>
  <si>
    <t>smart</t>
  </si>
  <si>
    <t>Subaru</t>
  </si>
  <si>
    <t>Suzuki</t>
  </si>
  <si>
    <t>Tesla</t>
  </si>
  <si>
    <t>Toyota</t>
  </si>
  <si>
    <t>Vauxhall</t>
  </si>
  <si>
    <t>Volvo</t>
  </si>
  <si>
    <t>VW</t>
  </si>
  <si>
    <t>Geely</t>
  </si>
  <si>
    <t>GWM Ora</t>
  </si>
  <si>
    <t>Jaecoo</t>
  </si>
  <si>
    <t>Leapmotor</t>
  </si>
  <si>
    <t>XPeng</t>
  </si>
  <si>
    <t>Jan - April 25</t>
  </si>
  <si>
    <t>Jan - April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</si>
</sst>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reDataTable" displayName="CoreDataTable" ref="A1:K802">
  <sortState xmlns:xlrd2="http://schemas.microsoft.com/office/spreadsheetml/2017/richdata2" ref="A2:K802">
    <sortCondition ref="K3:K802"/>
  </sortState>
  <tableColumns count="11">
    <tableColumn id="1" xr3:uid="{00000000-0010-0000-0000-000001000000}" name="Market"/>
    <tableColumn id="2" xr3:uid="{00000000-0010-0000-0000-000002000000}" name="Brand"/>
    <tableColumn id="3" xr3:uid="{00000000-0010-0000-0000-000003000000}" name="Originating Country"/>
    <tableColumn id="4" xr3:uid="{00000000-0010-0000-0000-000004000000}" name="Segment (Volume/Premium/Luxury)"/>
    <tableColumn id="5" xr3:uid="{00000000-0010-0000-0000-000005000000}" name="Powertrain focus (EV only / All)"/>
    <tableColumn id="6" xr3:uid="{00000000-0010-0000-0000-000006000000}" name="OEM Type"/>
    <tableColumn id="7" xr3:uid="{00000000-0010-0000-0000-000007000000}" name="Period" dataDxfId="0"/>
    <tableColumn id="8" xr3:uid="{00000000-0010-0000-0000-000008000000}" name="Sales"/>
    <tableColumn id="9" xr3:uid="{00000000-0010-0000-0000-000009000000}" name="Unique Visitors (dedupe)"/>
    <tableColumn id="10" xr3:uid="{00000000-0010-0000-0000-00000A000000}" name="Visits to sale (UV)"/>
    <tableColumn id="11" xr3:uid="{00000000-0010-0000-0000-00000B000000}" name="Conversion rate (UV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2"/>
  <sheetViews>
    <sheetView tabSelected="1" topLeftCell="A763" workbookViewId="0">
      <selection activeCell="D783" sqref="D783"/>
    </sheetView>
  </sheetViews>
  <sheetFormatPr baseColWidth="10" defaultColWidth="8.83203125" defaultRowHeight="14"/>
  <cols>
    <col min="1" max="1" width="14" customWidth="1"/>
    <col min="2" max="3" width="18" customWidth="1"/>
    <col min="4" max="4" width="25.83203125" customWidth="1"/>
    <col min="5" max="5" width="11.83203125" customWidth="1"/>
    <col min="6" max="6" width="18" customWidth="1"/>
    <col min="7" max="7" width="16" style="6" customWidth="1"/>
    <col min="8" max="8" width="14" customWidth="1"/>
    <col min="9" max="9" width="22" customWidth="1"/>
    <col min="10" max="11" width="18" customWidth="1"/>
  </cols>
  <sheetData>
    <row r="1" spans="1:11" ht="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42</v>
      </c>
      <c r="C2" t="s">
        <v>43</v>
      </c>
      <c r="D2" t="s">
        <v>14</v>
      </c>
      <c r="E2" t="s">
        <v>15</v>
      </c>
      <c r="F2" t="s">
        <v>16</v>
      </c>
      <c r="G2" s="6" t="s">
        <v>82</v>
      </c>
      <c r="H2" s="2">
        <v>0</v>
      </c>
      <c r="I2" s="2">
        <v>40659.34638463163</v>
      </c>
      <c r="J2" s="3" t="str">
        <f>IFERROR(I2/H2,"")</f>
        <v/>
      </c>
      <c r="K2" s="4">
        <f>IFERROR(H2/I2,"")</f>
        <v>0</v>
      </c>
    </row>
    <row r="3" spans="1:11">
      <c r="A3" t="s">
        <v>11</v>
      </c>
      <c r="B3" t="s">
        <v>60</v>
      </c>
      <c r="C3" t="s">
        <v>61</v>
      </c>
      <c r="D3" t="s">
        <v>14</v>
      </c>
      <c r="E3" t="s">
        <v>62</v>
      </c>
      <c r="F3" t="s">
        <v>16</v>
      </c>
      <c r="G3" s="6" t="s">
        <v>81</v>
      </c>
      <c r="H3" s="2">
        <v>1</v>
      </c>
      <c r="I3" s="2">
        <v>36919.971532925701</v>
      </c>
      <c r="J3" s="3">
        <f>IFERROR(I3/H3,"")</f>
        <v>36919.971532925701</v>
      </c>
      <c r="K3" s="4">
        <f>IFERROR(H3/I3,"")</f>
        <v>2.7085611350165511E-5</v>
      </c>
    </row>
    <row r="4" spans="1:11">
      <c r="A4" t="s">
        <v>19</v>
      </c>
      <c r="B4" t="s">
        <v>42</v>
      </c>
      <c r="C4" t="s">
        <v>43</v>
      </c>
      <c r="D4" t="s">
        <v>14</v>
      </c>
      <c r="E4" t="s">
        <v>15</v>
      </c>
      <c r="F4" t="s">
        <v>16</v>
      </c>
      <c r="G4" s="6" t="s">
        <v>82</v>
      </c>
      <c r="H4" s="2">
        <v>7</v>
      </c>
      <c r="I4" s="2">
        <v>228977.26069665491</v>
      </c>
      <c r="J4" s="3">
        <f>IFERROR(I4/H4,"")</f>
        <v>32711.037242379272</v>
      </c>
      <c r="K4" s="4">
        <f>IFERROR(H4/I4,"")</f>
        <v>3.0570721209183642E-5</v>
      </c>
    </row>
    <row r="5" spans="1:11">
      <c r="A5" t="s">
        <v>11</v>
      </c>
      <c r="B5" t="s">
        <v>42</v>
      </c>
      <c r="C5" t="s">
        <v>43</v>
      </c>
      <c r="D5" t="s">
        <v>14</v>
      </c>
      <c r="E5" t="s">
        <v>15</v>
      </c>
      <c r="F5" t="s">
        <v>16</v>
      </c>
      <c r="G5" s="6">
        <v>2025</v>
      </c>
      <c r="H5" s="2">
        <v>21</v>
      </c>
      <c r="I5" s="2">
        <v>330278.41674339311</v>
      </c>
      <c r="J5" s="3">
        <f>IFERROR(I5/H5,"")</f>
        <v>15727.54365444729</v>
      </c>
      <c r="K5" s="4">
        <f>IFERROR(H5/I5,"")</f>
        <v>6.3582719715880685E-5</v>
      </c>
    </row>
    <row r="6" spans="1:11">
      <c r="A6" t="s">
        <v>11</v>
      </c>
      <c r="B6" t="s">
        <v>42</v>
      </c>
      <c r="C6" t="s">
        <v>43</v>
      </c>
      <c r="D6" t="s">
        <v>14</v>
      </c>
      <c r="E6" t="s">
        <v>15</v>
      </c>
      <c r="F6" t="s">
        <v>16</v>
      </c>
      <c r="G6" s="6" t="s">
        <v>81</v>
      </c>
      <c r="H6" s="2">
        <v>14</v>
      </c>
      <c r="I6" s="2">
        <v>121064.4106032196</v>
      </c>
      <c r="J6" s="3">
        <f>IFERROR(I6/H6,"")</f>
        <v>8647.4579002299706</v>
      </c>
      <c r="K6" s="4">
        <f>IFERROR(H6/I6,"")</f>
        <v>1.1564092147513153E-4</v>
      </c>
    </row>
    <row r="7" spans="1:11">
      <c r="A7" t="s">
        <v>18</v>
      </c>
      <c r="B7" t="s">
        <v>32</v>
      </c>
      <c r="C7" t="s">
        <v>13</v>
      </c>
      <c r="D7" t="s">
        <v>33</v>
      </c>
      <c r="E7" t="s">
        <v>15</v>
      </c>
      <c r="F7" t="s">
        <v>16</v>
      </c>
      <c r="G7" s="6">
        <v>2024</v>
      </c>
      <c r="H7" s="2">
        <v>80</v>
      </c>
      <c r="I7" s="2">
        <v>601105.11842396797</v>
      </c>
      <c r="J7" s="3">
        <f>IFERROR(I7/H7,"")</f>
        <v>7513.8139802995993</v>
      </c>
      <c r="K7" s="4">
        <f>IFERROR(H7/I7,"")</f>
        <v>1.3308820295816358E-4</v>
      </c>
    </row>
    <row r="8" spans="1:11">
      <c r="A8" t="s">
        <v>11</v>
      </c>
      <c r="B8" t="s">
        <v>48</v>
      </c>
      <c r="C8" t="s">
        <v>43</v>
      </c>
      <c r="D8" t="s">
        <v>14</v>
      </c>
      <c r="E8" t="s">
        <v>15</v>
      </c>
      <c r="F8" t="s">
        <v>16</v>
      </c>
      <c r="G8" s="6" t="s">
        <v>81</v>
      </c>
      <c r="H8" s="2">
        <v>39</v>
      </c>
      <c r="I8" s="2">
        <v>238771.9169511389</v>
      </c>
      <c r="J8" s="3">
        <f>IFERROR(I8/H8,"")</f>
        <v>6122.3568449009972</v>
      </c>
      <c r="K8" s="4">
        <f>IFERROR(H8/I8,"")</f>
        <v>1.6333579131913058E-4</v>
      </c>
    </row>
    <row r="9" spans="1:11">
      <c r="A9" t="s">
        <v>18</v>
      </c>
      <c r="B9" t="s">
        <v>32</v>
      </c>
      <c r="C9" t="s">
        <v>13</v>
      </c>
      <c r="D9" t="s">
        <v>33</v>
      </c>
      <c r="E9" t="s">
        <v>15</v>
      </c>
      <c r="F9" t="s">
        <v>16</v>
      </c>
      <c r="G9" s="6">
        <v>2025</v>
      </c>
      <c r="H9" s="2">
        <v>109</v>
      </c>
      <c r="I9" s="2">
        <v>611983.0666126837</v>
      </c>
      <c r="J9" s="3">
        <f>IFERROR(I9/H9,"")</f>
        <v>5614.523546905355</v>
      </c>
      <c r="K9" s="4">
        <f>IFERROR(H9/I9,"")</f>
        <v>1.7810950326340436E-4</v>
      </c>
    </row>
    <row r="10" spans="1:11">
      <c r="A10" t="s">
        <v>18</v>
      </c>
      <c r="B10" t="s">
        <v>47</v>
      </c>
      <c r="C10" t="s">
        <v>13</v>
      </c>
      <c r="D10" t="s">
        <v>33</v>
      </c>
      <c r="E10" t="s">
        <v>15</v>
      </c>
      <c r="F10" t="s">
        <v>16</v>
      </c>
      <c r="G10" s="6" t="s">
        <v>81</v>
      </c>
      <c r="H10" s="2">
        <v>23</v>
      </c>
      <c r="I10" s="2">
        <v>116076.8643805875</v>
      </c>
      <c r="J10" s="3">
        <f>IFERROR(I10/H10,"")</f>
        <v>5046.8201904603266</v>
      </c>
      <c r="K10" s="4">
        <f>IFERROR(H10/I10,"")</f>
        <v>1.9814456672941004E-4</v>
      </c>
    </row>
    <row r="11" spans="1:11">
      <c r="A11" t="s">
        <v>11</v>
      </c>
      <c r="B11" t="s">
        <v>47</v>
      </c>
      <c r="C11" t="s">
        <v>13</v>
      </c>
      <c r="D11" t="s">
        <v>33</v>
      </c>
      <c r="E11" t="s">
        <v>15</v>
      </c>
      <c r="F11" t="s">
        <v>16</v>
      </c>
      <c r="G11" s="6" t="s">
        <v>81</v>
      </c>
      <c r="H11" s="2">
        <v>31</v>
      </c>
      <c r="I11" s="2">
        <v>148045.36153075329</v>
      </c>
      <c r="J11" s="3">
        <f>IFERROR(I11/H11,"")</f>
        <v>4775.6568235726863</v>
      </c>
      <c r="K11" s="4">
        <f>IFERROR(H11/I11,"")</f>
        <v>2.0939528046990115E-4</v>
      </c>
    </row>
    <row r="12" spans="1:11">
      <c r="A12" t="s">
        <v>13</v>
      </c>
      <c r="B12" t="s">
        <v>32</v>
      </c>
      <c r="C12" t="s">
        <v>13</v>
      </c>
      <c r="D12" t="s">
        <v>33</v>
      </c>
      <c r="E12" t="s">
        <v>15</v>
      </c>
      <c r="F12" t="s">
        <v>16</v>
      </c>
      <c r="G12" s="6">
        <v>2024</v>
      </c>
      <c r="H12" s="2">
        <v>754</v>
      </c>
      <c r="I12" s="2">
        <v>3152229.8866923102</v>
      </c>
      <c r="J12" s="3">
        <f>IFERROR(I12/H12,"")</f>
        <v>4180.6762422974934</v>
      </c>
      <c r="K12" s="4">
        <f>IFERROR(H12/I12,"")</f>
        <v>2.3919575256333393E-4</v>
      </c>
    </row>
    <row r="13" spans="1:11">
      <c r="A13" t="s">
        <v>11</v>
      </c>
      <c r="B13" t="s">
        <v>47</v>
      </c>
      <c r="C13" t="s">
        <v>13</v>
      </c>
      <c r="D13" t="s">
        <v>33</v>
      </c>
      <c r="E13" t="s">
        <v>15</v>
      </c>
      <c r="F13" t="s">
        <v>16</v>
      </c>
      <c r="G13" s="6">
        <v>2024</v>
      </c>
      <c r="H13" s="2">
        <v>119</v>
      </c>
      <c r="I13" s="2">
        <v>490942.53782456939</v>
      </c>
      <c r="J13" s="3">
        <f>IFERROR(I13/H13,"")</f>
        <v>4125.5675447442809</v>
      </c>
      <c r="K13" s="4">
        <f>IFERROR(H13/I13,"")</f>
        <v>2.4239089268431407E-4</v>
      </c>
    </row>
    <row r="14" spans="1:11">
      <c r="A14" t="s">
        <v>11</v>
      </c>
      <c r="B14" t="s">
        <v>51</v>
      </c>
      <c r="C14" t="s">
        <v>13</v>
      </c>
      <c r="D14" t="s">
        <v>14</v>
      </c>
      <c r="E14" t="s">
        <v>15</v>
      </c>
      <c r="F14" t="s">
        <v>16</v>
      </c>
      <c r="G14" s="6">
        <v>2024</v>
      </c>
      <c r="H14" s="2">
        <v>97</v>
      </c>
      <c r="I14" s="2">
        <v>386801.54485750227</v>
      </c>
      <c r="J14" s="3">
        <f>IFERROR(I14/H14,"")</f>
        <v>3987.6447923453843</v>
      </c>
      <c r="K14" s="4">
        <f>IFERROR(H14/I14,"")</f>
        <v>2.5077459304288666E-4</v>
      </c>
    </row>
    <row r="15" spans="1:11">
      <c r="A15" t="s">
        <v>13</v>
      </c>
      <c r="B15" t="s">
        <v>32</v>
      </c>
      <c r="C15" t="s">
        <v>13</v>
      </c>
      <c r="D15" t="s">
        <v>33</v>
      </c>
      <c r="E15" t="s">
        <v>15</v>
      </c>
      <c r="F15" t="s">
        <v>16</v>
      </c>
      <c r="G15" s="6">
        <v>2025</v>
      </c>
      <c r="H15" s="2">
        <v>810</v>
      </c>
      <c r="I15" s="2">
        <v>3086465.0698193619</v>
      </c>
      <c r="J15" s="3">
        <f>IFERROR(I15/H15,"")</f>
        <v>3810.4507034806938</v>
      </c>
      <c r="K15" s="4">
        <f>IFERROR(H15/I15,"")</f>
        <v>2.6243614674939639E-4</v>
      </c>
    </row>
    <row r="16" spans="1:11">
      <c r="A16" t="s">
        <v>11</v>
      </c>
      <c r="B16" t="s">
        <v>50</v>
      </c>
      <c r="C16" t="s">
        <v>43</v>
      </c>
      <c r="D16" t="s">
        <v>14</v>
      </c>
      <c r="E16" t="s">
        <v>15</v>
      </c>
      <c r="F16" t="s">
        <v>16</v>
      </c>
      <c r="G16" s="6" t="s">
        <v>82</v>
      </c>
      <c r="H16" s="2">
        <v>12</v>
      </c>
      <c r="I16" s="2">
        <v>43776.796168480432</v>
      </c>
      <c r="J16" s="3">
        <f>IFERROR(I16/H16,"")</f>
        <v>3648.0663473733694</v>
      </c>
      <c r="K16" s="4">
        <f>IFERROR(H16/I16,"")</f>
        <v>2.741178215467507E-4</v>
      </c>
    </row>
    <row r="17" spans="1:11">
      <c r="A17" t="s">
        <v>13</v>
      </c>
      <c r="B17" t="s">
        <v>32</v>
      </c>
      <c r="C17" t="s">
        <v>13</v>
      </c>
      <c r="D17" t="s">
        <v>33</v>
      </c>
      <c r="E17" t="s">
        <v>15</v>
      </c>
      <c r="F17" t="s">
        <v>16</v>
      </c>
      <c r="G17" s="6" t="s">
        <v>81</v>
      </c>
      <c r="H17" s="2">
        <v>296</v>
      </c>
      <c r="I17" s="2">
        <v>1074189.6616585681</v>
      </c>
      <c r="J17" s="3">
        <f>IFERROR(I17/H17,"")</f>
        <v>3629.0191272248921</v>
      </c>
      <c r="K17" s="4">
        <f>IFERROR(H17/I17,"")</f>
        <v>2.7555655259516341E-4</v>
      </c>
    </row>
    <row r="18" spans="1:11">
      <c r="A18" t="s">
        <v>11</v>
      </c>
      <c r="B18" t="s">
        <v>51</v>
      </c>
      <c r="C18" t="s">
        <v>13</v>
      </c>
      <c r="D18" t="s">
        <v>14</v>
      </c>
      <c r="E18" t="s">
        <v>15</v>
      </c>
      <c r="F18" t="s">
        <v>16</v>
      </c>
      <c r="G18" s="6" t="s">
        <v>81</v>
      </c>
      <c r="H18" s="2">
        <v>27</v>
      </c>
      <c r="I18" s="2">
        <v>96705.107136092207</v>
      </c>
      <c r="J18" s="3">
        <f>IFERROR(I18/H18,"")</f>
        <v>3581.6706346700817</v>
      </c>
      <c r="K18" s="4">
        <f>IFERROR(H18/I18,"")</f>
        <v>2.7919931841865548E-4</v>
      </c>
    </row>
    <row r="19" spans="1:11">
      <c r="A19" t="s">
        <v>11</v>
      </c>
      <c r="B19" t="s">
        <v>51</v>
      </c>
      <c r="C19" t="s">
        <v>13</v>
      </c>
      <c r="D19" t="s">
        <v>14</v>
      </c>
      <c r="E19" t="s">
        <v>15</v>
      </c>
      <c r="F19" t="s">
        <v>16</v>
      </c>
      <c r="G19" s="6" t="s">
        <v>82</v>
      </c>
      <c r="H19" s="2">
        <v>23</v>
      </c>
      <c r="I19" s="2">
        <v>76889.196133203004</v>
      </c>
      <c r="J19" s="3">
        <f>IFERROR(I19/H19,"")</f>
        <v>3343.0085275305655</v>
      </c>
      <c r="K19" s="4">
        <f>IFERROR(H19/I19,"")</f>
        <v>2.9913175266073469E-4</v>
      </c>
    </row>
    <row r="20" spans="1:11">
      <c r="A20" t="s">
        <v>11</v>
      </c>
      <c r="B20" t="s">
        <v>47</v>
      </c>
      <c r="C20" t="s">
        <v>13</v>
      </c>
      <c r="D20" t="s">
        <v>33</v>
      </c>
      <c r="E20" t="s">
        <v>15</v>
      </c>
      <c r="F20" t="s">
        <v>16</v>
      </c>
      <c r="G20" s="6" t="s">
        <v>82</v>
      </c>
      <c r="H20" s="2">
        <v>36</v>
      </c>
      <c r="I20" s="2">
        <v>118962.39555741449</v>
      </c>
      <c r="J20" s="3">
        <f>IFERROR(I20/H20,"")</f>
        <v>3304.5109877059581</v>
      </c>
      <c r="K20" s="4">
        <f>IFERROR(H20/I20,"")</f>
        <v>3.026166363859529E-4</v>
      </c>
    </row>
    <row r="21" spans="1:11">
      <c r="A21" t="s">
        <v>11</v>
      </c>
      <c r="B21" t="s">
        <v>47</v>
      </c>
      <c r="C21" t="s">
        <v>13</v>
      </c>
      <c r="D21" t="s">
        <v>33</v>
      </c>
      <c r="E21" t="s">
        <v>15</v>
      </c>
      <c r="F21" t="s">
        <v>16</v>
      </c>
      <c r="G21" s="6">
        <v>2025</v>
      </c>
      <c r="H21" s="2">
        <v>145</v>
      </c>
      <c r="I21" s="2">
        <v>448569.22099013411</v>
      </c>
      <c r="J21" s="3">
        <f>IFERROR(I21/H21,"")</f>
        <v>3093.5808344147181</v>
      </c>
      <c r="K21" s="4">
        <f>IFERROR(H21/I21,"")</f>
        <v>3.2324999847278677E-4</v>
      </c>
    </row>
    <row r="22" spans="1:11">
      <c r="A22" t="s">
        <v>13</v>
      </c>
      <c r="B22" t="s">
        <v>32</v>
      </c>
      <c r="C22" t="s">
        <v>13</v>
      </c>
      <c r="D22" t="s">
        <v>33</v>
      </c>
      <c r="E22" t="s">
        <v>15</v>
      </c>
      <c r="F22" t="s">
        <v>16</v>
      </c>
      <c r="G22" s="6" t="s">
        <v>82</v>
      </c>
      <c r="H22" s="2">
        <v>365</v>
      </c>
      <c r="I22" s="2">
        <v>950399.13847749098</v>
      </c>
      <c r="J22" s="3">
        <f>IFERROR(I22/H22,"")</f>
        <v>2603.833256102715</v>
      </c>
      <c r="K22" s="4">
        <f>IFERROR(H22/I22,"")</f>
        <v>3.840491696832957E-4</v>
      </c>
    </row>
    <row r="23" spans="1:11">
      <c r="A23" t="s">
        <v>11</v>
      </c>
      <c r="B23" t="s">
        <v>51</v>
      </c>
      <c r="C23" t="s">
        <v>13</v>
      </c>
      <c r="D23" t="s">
        <v>14</v>
      </c>
      <c r="E23" t="s">
        <v>15</v>
      </c>
      <c r="F23" t="s">
        <v>16</v>
      </c>
      <c r="G23" s="6">
        <v>2025</v>
      </c>
      <c r="H23" s="2">
        <v>109</v>
      </c>
      <c r="I23" s="2">
        <v>279953.20186046959</v>
      </c>
      <c r="J23" s="3">
        <f>IFERROR(I23/H23,"")</f>
        <v>2568.3779987199046</v>
      </c>
      <c r="K23" s="4">
        <f>IFERROR(H23/I23,"")</f>
        <v>3.8935078890194752E-4</v>
      </c>
    </row>
    <row r="24" spans="1:11">
      <c r="A24" t="s">
        <v>18</v>
      </c>
      <c r="B24" t="s">
        <v>47</v>
      </c>
      <c r="C24" t="s">
        <v>13</v>
      </c>
      <c r="D24" t="s">
        <v>33</v>
      </c>
      <c r="E24" t="s">
        <v>15</v>
      </c>
      <c r="F24" t="s">
        <v>16</v>
      </c>
      <c r="G24" s="6" t="s">
        <v>82</v>
      </c>
      <c r="H24" s="2">
        <v>42</v>
      </c>
      <c r="I24" s="2">
        <v>102697.6813251624</v>
      </c>
      <c r="J24" s="3">
        <f>IFERROR(I24/H24,"")</f>
        <v>2445.1828886943426</v>
      </c>
      <c r="K24" s="4">
        <f>IFERROR(H24/I24,"")</f>
        <v>4.0896736380073849E-4</v>
      </c>
    </row>
    <row r="25" spans="1:11">
      <c r="A25" t="s">
        <v>11</v>
      </c>
      <c r="B25" t="s">
        <v>50</v>
      </c>
      <c r="C25" t="s">
        <v>43</v>
      </c>
      <c r="D25" t="s">
        <v>14</v>
      </c>
      <c r="E25" t="s">
        <v>15</v>
      </c>
      <c r="F25" t="s">
        <v>16</v>
      </c>
      <c r="G25" s="6">
        <v>2025</v>
      </c>
      <c r="H25" s="2">
        <v>83</v>
      </c>
      <c r="I25" s="2">
        <v>187937.32429532931</v>
      </c>
      <c r="J25" s="3">
        <f>IFERROR(I25/H25,"")</f>
        <v>2264.3051119919196</v>
      </c>
      <c r="K25" s="4">
        <f>IFERROR(H25/I25,"")</f>
        <v>4.4163659513195882E-4</v>
      </c>
    </row>
    <row r="26" spans="1:11">
      <c r="A26" t="s">
        <v>18</v>
      </c>
      <c r="B26" t="s">
        <v>42</v>
      </c>
      <c r="C26" t="s">
        <v>43</v>
      </c>
      <c r="D26" t="s">
        <v>14</v>
      </c>
      <c r="E26" t="s">
        <v>15</v>
      </c>
      <c r="F26" t="s">
        <v>16</v>
      </c>
      <c r="G26" s="6">
        <v>2025</v>
      </c>
      <c r="H26" s="2">
        <v>157</v>
      </c>
      <c r="I26" s="2">
        <v>335430.92297697149</v>
      </c>
      <c r="J26" s="3">
        <f>IFERROR(I26/H26,"")</f>
        <v>2136.5026941208375</v>
      </c>
      <c r="K26" s="4">
        <f>IFERROR(H26/I26,"")</f>
        <v>4.6805464030154012E-4</v>
      </c>
    </row>
    <row r="27" spans="1:11">
      <c r="A27" t="s">
        <v>11</v>
      </c>
      <c r="B27" t="s">
        <v>50</v>
      </c>
      <c r="C27" t="s">
        <v>43</v>
      </c>
      <c r="D27" t="s">
        <v>14</v>
      </c>
      <c r="E27" t="s">
        <v>15</v>
      </c>
      <c r="F27" t="s">
        <v>16</v>
      </c>
      <c r="G27" s="6">
        <v>2024</v>
      </c>
      <c r="H27" s="2">
        <v>200</v>
      </c>
      <c r="I27" s="2">
        <v>412725.07148913789</v>
      </c>
      <c r="J27" s="3">
        <f>IFERROR(I27/H27,"")</f>
        <v>2063.6253574456896</v>
      </c>
      <c r="K27" s="4">
        <f>IFERROR(H27/I27,"")</f>
        <v>4.8458408227633828E-4</v>
      </c>
    </row>
    <row r="28" spans="1:11">
      <c r="A28" t="s">
        <v>13</v>
      </c>
      <c r="B28" t="s">
        <v>47</v>
      </c>
      <c r="C28" t="s">
        <v>13</v>
      </c>
      <c r="D28" t="s">
        <v>33</v>
      </c>
      <c r="E28" t="s">
        <v>15</v>
      </c>
      <c r="F28" t="s">
        <v>16</v>
      </c>
      <c r="G28" s="6">
        <v>2024</v>
      </c>
      <c r="H28" s="2">
        <v>482</v>
      </c>
      <c r="I28" s="2">
        <v>929615.60841464729</v>
      </c>
      <c r="J28" s="3">
        <f>IFERROR(I28/H28,"")</f>
        <v>1928.6630879971935</v>
      </c>
      <c r="K28" s="4">
        <f>IFERROR(H28/I28,"")</f>
        <v>5.1849387600321774E-4</v>
      </c>
    </row>
    <row r="29" spans="1:11">
      <c r="A29" t="s">
        <v>17</v>
      </c>
      <c r="B29" t="s">
        <v>42</v>
      </c>
      <c r="C29" t="s">
        <v>43</v>
      </c>
      <c r="D29" t="s">
        <v>14</v>
      </c>
      <c r="E29" t="s">
        <v>15</v>
      </c>
      <c r="F29" t="s">
        <v>16</v>
      </c>
      <c r="G29" s="6">
        <v>2025</v>
      </c>
      <c r="H29" s="2">
        <v>194</v>
      </c>
      <c r="I29" s="2">
        <v>369353.46893649449</v>
      </c>
      <c r="J29" s="3">
        <f>IFERROR(I29/H29,"")</f>
        <v>1903.8838604973944</v>
      </c>
      <c r="K29" s="4">
        <f>IFERROR(H29/I29,"")</f>
        <v>5.2524212256242753E-4</v>
      </c>
    </row>
    <row r="30" spans="1:11">
      <c r="A30" t="s">
        <v>11</v>
      </c>
      <c r="B30" t="s">
        <v>50</v>
      </c>
      <c r="C30" t="s">
        <v>43</v>
      </c>
      <c r="D30" t="s">
        <v>14</v>
      </c>
      <c r="E30" t="s">
        <v>15</v>
      </c>
      <c r="F30" t="s">
        <v>16</v>
      </c>
      <c r="G30" s="6" t="s">
        <v>81</v>
      </c>
      <c r="H30" s="2">
        <v>34</v>
      </c>
      <c r="I30" s="2">
        <v>64432.2877904282</v>
      </c>
      <c r="J30" s="3">
        <f>IFERROR(I30/H30,"")</f>
        <v>1895.0672879537706</v>
      </c>
      <c r="K30" s="4">
        <f>IFERROR(H30/I30,"")</f>
        <v>5.276857483407706E-4</v>
      </c>
    </row>
    <row r="31" spans="1:11">
      <c r="A31" t="s">
        <v>19</v>
      </c>
      <c r="B31" t="s">
        <v>32</v>
      </c>
      <c r="C31" t="s">
        <v>13</v>
      </c>
      <c r="D31" t="s">
        <v>33</v>
      </c>
      <c r="E31" t="s">
        <v>15</v>
      </c>
      <c r="F31" t="s">
        <v>16</v>
      </c>
      <c r="G31" s="6">
        <v>2025</v>
      </c>
      <c r="H31" s="2">
        <v>636</v>
      </c>
      <c r="I31" s="2">
        <v>1199402.6579437</v>
      </c>
      <c r="J31" s="3">
        <f>IFERROR(I31/H31,"")</f>
        <v>1885.8532357605345</v>
      </c>
      <c r="K31" s="4">
        <f>IFERROR(H31/I31,"")</f>
        <v>5.302639574689469E-4</v>
      </c>
    </row>
    <row r="32" spans="1:11">
      <c r="A32" t="s">
        <v>13</v>
      </c>
      <c r="B32" t="s">
        <v>42</v>
      </c>
      <c r="C32" t="s">
        <v>43</v>
      </c>
      <c r="D32" t="s">
        <v>14</v>
      </c>
      <c r="E32" t="s">
        <v>15</v>
      </c>
      <c r="F32" t="s">
        <v>16</v>
      </c>
      <c r="G32" s="6">
        <v>2025</v>
      </c>
      <c r="H32" s="2">
        <v>180</v>
      </c>
      <c r="I32" s="2">
        <v>311175.83221579157</v>
      </c>
      <c r="J32" s="3">
        <f>IFERROR(I32/H32,"")</f>
        <v>1728.7546234210643</v>
      </c>
      <c r="K32" s="4">
        <f>IFERROR(H32/I32,"")</f>
        <v>5.7845109216314442E-4</v>
      </c>
    </row>
    <row r="33" spans="1:11">
      <c r="A33" t="s">
        <v>19</v>
      </c>
      <c r="B33" t="s">
        <v>31</v>
      </c>
      <c r="C33" t="s">
        <v>11</v>
      </c>
      <c r="D33" t="s">
        <v>21</v>
      </c>
      <c r="E33" t="s">
        <v>15</v>
      </c>
      <c r="F33" t="s">
        <v>16</v>
      </c>
      <c r="G33" s="6" t="s">
        <v>82</v>
      </c>
      <c r="H33" s="2">
        <v>59</v>
      </c>
      <c r="I33" s="2">
        <v>94430.061102862004</v>
      </c>
      <c r="J33" s="3">
        <f>IFERROR(I33/H33,"")</f>
        <v>1600.5095102180001</v>
      </c>
      <c r="K33" s="4">
        <f>IFERROR(H33/I33,"")</f>
        <v>6.2480103592998536E-4</v>
      </c>
    </row>
    <row r="34" spans="1:11">
      <c r="A34" t="s">
        <v>18</v>
      </c>
      <c r="B34" t="s">
        <v>20</v>
      </c>
      <c r="C34" t="s">
        <v>11</v>
      </c>
      <c r="D34" t="s">
        <v>21</v>
      </c>
      <c r="E34" t="s">
        <v>15</v>
      </c>
      <c r="F34" t="s">
        <v>16</v>
      </c>
      <c r="G34" s="6">
        <v>2024</v>
      </c>
      <c r="H34" s="2">
        <v>64</v>
      </c>
      <c r="I34" s="2">
        <v>99395.88455927957</v>
      </c>
      <c r="J34" s="3">
        <f>IFERROR(I34/H34,"")</f>
        <v>1553.0606962387433</v>
      </c>
      <c r="K34" s="4">
        <f>IFERROR(H34/I34,"")</f>
        <v>6.4388983793217799E-4</v>
      </c>
    </row>
    <row r="35" spans="1:11">
      <c r="A35" t="s">
        <v>11</v>
      </c>
      <c r="B35" t="s">
        <v>42</v>
      </c>
      <c r="C35" t="s">
        <v>43</v>
      </c>
      <c r="D35" t="s">
        <v>14</v>
      </c>
      <c r="E35" t="s">
        <v>15</v>
      </c>
      <c r="F35" t="s">
        <v>16</v>
      </c>
      <c r="G35" s="6">
        <v>2024</v>
      </c>
      <c r="H35" s="2">
        <v>517</v>
      </c>
      <c r="I35" s="2">
        <v>738509.21094906761</v>
      </c>
      <c r="J35" s="3">
        <f>IFERROR(I35/H35,"")</f>
        <v>1428.4510850078677</v>
      </c>
      <c r="K35" s="4">
        <f>IFERROR(H35/I35,"")</f>
        <v>7.0005897331408594E-4</v>
      </c>
    </row>
    <row r="36" spans="1:11">
      <c r="A36" t="s">
        <v>13</v>
      </c>
      <c r="B36" t="s">
        <v>47</v>
      </c>
      <c r="C36" t="s">
        <v>13</v>
      </c>
      <c r="D36" t="s">
        <v>33</v>
      </c>
      <c r="E36" t="s">
        <v>15</v>
      </c>
      <c r="F36" t="s">
        <v>16</v>
      </c>
      <c r="G36" s="6">
        <v>2025</v>
      </c>
      <c r="H36" s="2">
        <v>568</v>
      </c>
      <c r="I36" s="2">
        <v>745992.30004052492</v>
      </c>
      <c r="J36" s="3">
        <f>IFERROR(I36/H36,"")</f>
        <v>1313.3667254234595</v>
      </c>
      <c r="K36" s="4">
        <f>IFERROR(H36/I36,"")</f>
        <v>7.6140196080997649E-4</v>
      </c>
    </row>
    <row r="37" spans="1:11">
      <c r="A37" t="s">
        <v>19</v>
      </c>
      <c r="B37" t="s">
        <v>32</v>
      </c>
      <c r="C37" t="s">
        <v>13</v>
      </c>
      <c r="D37" t="s">
        <v>33</v>
      </c>
      <c r="E37" t="s">
        <v>15</v>
      </c>
      <c r="F37" t="s">
        <v>16</v>
      </c>
      <c r="G37" s="6">
        <v>2024</v>
      </c>
      <c r="H37" s="2">
        <v>940</v>
      </c>
      <c r="I37" s="2">
        <v>1231970.9076129769</v>
      </c>
      <c r="J37" s="3">
        <f>IFERROR(I37/H37,"")</f>
        <v>1310.6073485244435</v>
      </c>
      <c r="K37" s="4">
        <f>IFERROR(H37/I37,"")</f>
        <v>7.6300503055004012E-4</v>
      </c>
    </row>
    <row r="38" spans="1:11">
      <c r="A38" t="s">
        <v>18</v>
      </c>
      <c r="B38" t="s">
        <v>39</v>
      </c>
      <c r="C38" t="s">
        <v>40</v>
      </c>
      <c r="D38" t="s">
        <v>21</v>
      </c>
      <c r="E38" t="s">
        <v>15</v>
      </c>
      <c r="F38" t="s">
        <v>16</v>
      </c>
      <c r="G38" s="6">
        <v>2024</v>
      </c>
      <c r="H38" s="2">
        <v>3843</v>
      </c>
      <c r="I38" s="2">
        <v>4941586.0535046523</v>
      </c>
      <c r="J38" s="3">
        <f>IFERROR(I38/H38,"")</f>
        <v>1285.8667846746428</v>
      </c>
      <c r="K38" s="4">
        <f>IFERROR(H38/I38,"")</f>
        <v>7.7768553626107197E-4</v>
      </c>
    </row>
    <row r="39" spans="1:11">
      <c r="A39" t="s">
        <v>11</v>
      </c>
      <c r="B39" t="s">
        <v>48</v>
      </c>
      <c r="C39" t="s">
        <v>43</v>
      </c>
      <c r="D39" t="s">
        <v>14</v>
      </c>
      <c r="E39" t="s">
        <v>15</v>
      </c>
      <c r="F39" t="s">
        <v>16</v>
      </c>
      <c r="G39" s="6">
        <v>2025</v>
      </c>
      <c r="H39" s="2">
        <v>671</v>
      </c>
      <c r="I39" s="2">
        <v>839029.23878210923</v>
      </c>
      <c r="J39" s="3">
        <f>IFERROR(I39/H39,"")</f>
        <v>1250.4161531775101</v>
      </c>
      <c r="K39" s="4">
        <f>IFERROR(H39/I39,"")</f>
        <v>7.9973375060681841E-4</v>
      </c>
    </row>
    <row r="40" spans="1:11">
      <c r="A40" t="s">
        <v>13</v>
      </c>
      <c r="B40" t="s">
        <v>47</v>
      </c>
      <c r="C40" t="s">
        <v>13</v>
      </c>
      <c r="D40" t="s">
        <v>33</v>
      </c>
      <c r="E40" t="s">
        <v>15</v>
      </c>
      <c r="F40" t="s">
        <v>16</v>
      </c>
      <c r="G40" s="6" t="s">
        <v>81</v>
      </c>
      <c r="H40" s="2">
        <v>195</v>
      </c>
      <c r="I40" s="2">
        <v>239840.4836875922</v>
      </c>
      <c r="J40" s="3">
        <f>IFERROR(I40/H40,"")</f>
        <v>1229.9511983979087</v>
      </c>
      <c r="K40" s="4">
        <f>IFERROR(H40/I40,"")</f>
        <v>8.1304038835245242E-4</v>
      </c>
    </row>
    <row r="41" spans="1:11">
      <c r="A41" t="s">
        <v>18</v>
      </c>
      <c r="B41" t="s">
        <v>39</v>
      </c>
      <c r="C41" t="s">
        <v>40</v>
      </c>
      <c r="D41" t="s">
        <v>21</v>
      </c>
      <c r="E41" t="s">
        <v>15</v>
      </c>
      <c r="F41" t="s">
        <v>16</v>
      </c>
      <c r="G41" s="6" t="s">
        <v>81</v>
      </c>
      <c r="H41" s="2">
        <v>1510</v>
      </c>
      <c r="I41" s="2">
        <v>1805302.0965247802</v>
      </c>
      <c r="J41" s="3">
        <f>IFERROR(I41/H41,"")</f>
        <v>1195.5643023342916</v>
      </c>
      <c r="K41" s="4">
        <f>IFERROR(H41/I41,"")</f>
        <v>8.3642510741374599E-4</v>
      </c>
    </row>
    <row r="42" spans="1:11">
      <c r="A42" t="s">
        <v>18</v>
      </c>
      <c r="B42" t="s">
        <v>39</v>
      </c>
      <c r="C42" t="s">
        <v>40</v>
      </c>
      <c r="D42" t="s">
        <v>21</v>
      </c>
      <c r="E42" t="s">
        <v>15</v>
      </c>
      <c r="F42" t="s">
        <v>16</v>
      </c>
      <c r="G42" s="6">
        <v>2025</v>
      </c>
      <c r="H42" s="2">
        <v>4911</v>
      </c>
      <c r="I42" s="2">
        <v>5811478.3152882038</v>
      </c>
      <c r="J42" s="3">
        <f>IFERROR(I42/H42,"")</f>
        <v>1183.3594614718395</v>
      </c>
      <c r="K42" s="4">
        <f>IFERROR(H42/I42,"")</f>
        <v>8.4505176369335778E-4</v>
      </c>
    </row>
    <row r="43" spans="1:11">
      <c r="A43" t="s">
        <v>11</v>
      </c>
      <c r="B43" t="s">
        <v>39</v>
      </c>
      <c r="C43" t="s">
        <v>40</v>
      </c>
      <c r="D43" t="s">
        <v>21</v>
      </c>
      <c r="E43" t="s">
        <v>15</v>
      </c>
      <c r="F43" t="s">
        <v>16</v>
      </c>
      <c r="G43" s="6">
        <v>2024</v>
      </c>
      <c r="H43" s="2">
        <v>4600</v>
      </c>
      <c r="I43" s="2">
        <v>4687728.4323873799</v>
      </c>
      <c r="J43" s="3">
        <f>IFERROR(I43/H43,"")</f>
        <v>1019.0713983450826</v>
      </c>
      <c r="K43" s="4">
        <f>IFERROR(H43/I43,"")</f>
        <v>9.8128551308960935E-4</v>
      </c>
    </row>
    <row r="44" spans="1:11">
      <c r="A44" t="s">
        <v>18</v>
      </c>
      <c r="B44" t="s">
        <v>39</v>
      </c>
      <c r="C44" t="s">
        <v>40</v>
      </c>
      <c r="D44" t="s">
        <v>21</v>
      </c>
      <c r="E44" t="s">
        <v>15</v>
      </c>
      <c r="F44" t="s">
        <v>16</v>
      </c>
      <c r="G44" s="6" t="s">
        <v>82</v>
      </c>
      <c r="H44" s="2">
        <v>1777</v>
      </c>
      <c r="I44" s="2">
        <v>1781907.0321893881</v>
      </c>
      <c r="J44" s="3">
        <f>IFERROR(I44/H44,"")</f>
        <v>1002.7614137250355</v>
      </c>
      <c r="K44" s="4">
        <f>IFERROR(H44/I44,"")</f>
        <v>9.9724619068181195E-4</v>
      </c>
    </row>
    <row r="45" spans="1:11">
      <c r="A45" t="s">
        <v>18</v>
      </c>
      <c r="B45" t="s">
        <v>51</v>
      </c>
      <c r="C45" t="s">
        <v>13</v>
      </c>
      <c r="D45" t="s">
        <v>14</v>
      </c>
      <c r="E45" t="s">
        <v>15</v>
      </c>
      <c r="F45" t="s">
        <v>16</v>
      </c>
      <c r="G45" s="6" t="s">
        <v>82</v>
      </c>
      <c r="H45" s="2">
        <v>62</v>
      </c>
      <c r="I45" s="2">
        <v>61917.627603779096</v>
      </c>
      <c r="J45" s="3">
        <f>IFERROR(I45/H45,"")</f>
        <v>998.67141296417901</v>
      </c>
      <c r="K45" s="4">
        <f>IFERROR(H45/I45,"")</f>
        <v>1.0013303545275995E-3</v>
      </c>
    </row>
    <row r="46" spans="1:11">
      <c r="A46" t="s">
        <v>11</v>
      </c>
      <c r="B46" t="s">
        <v>63</v>
      </c>
      <c r="C46" t="s">
        <v>17</v>
      </c>
      <c r="D46" t="s">
        <v>33</v>
      </c>
      <c r="E46" t="s">
        <v>15</v>
      </c>
      <c r="F46" t="s">
        <v>16</v>
      </c>
      <c r="G46" s="6" t="s">
        <v>82</v>
      </c>
      <c r="H46" s="2">
        <v>687</v>
      </c>
      <c r="I46" s="2">
        <v>658325.82234853006</v>
      </c>
      <c r="J46" s="3">
        <f>IFERROR(I46/H46,"")</f>
        <v>958.26175014342073</v>
      </c>
      <c r="K46" s="4">
        <f>IFERROR(H46/I46,"")</f>
        <v>1.0435562098250633E-3</v>
      </c>
    </row>
    <row r="47" spans="1:11">
      <c r="A47" t="s">
        <v>11</v>
      </c>
      <c r="B47" t="s">
        <v>39</v>
      </c>
      <c r="C47" t="s">
        <v>40</v>
      </c>
      <c r="D47" t="s">
        <v>21</v>
      </c>
      <c r="E47" t="s">
        <v>15</v>
      </c>
      <c r="F47" t="s">
        <v>16</v>
      </c>
      <c r="G47" s="6">
        <v>2025</v>
      </c>
      <c r="H47" s="2">
        <v>5500</v>
      </c>
      <c r="I47" s="2">
        <v>5167338.3225893211</v>
      </c>
      <c r="J47" s="3">
        <f>IFERROR(I47/H47,"")</f>
        <v>939.51605865260387</v>
      </c>
      <c r="K47" s="4">
        <f>IFERROR(H47/I47,"")</f>
        <v>1.0643777621365392E-3</v>
      </c>
    </row>
    <row r="48" spans="1:11">
      <c r="A48" t="s">
        <v>19</v>
      </c>
      <c r="B48" t="s">
        <v>20</v>
      </c>
      <c r="C48" t="s">
        <v>11</v>
      </c>
      <c r="D48" t="s">
        <v>21</v>
      </c>
      <c r="E48" t="s">
        <v>15</v>
      </c>
      <c r="F48" t="s">
        <v>16</v>
      </c>
      <c r="G48" s="6" t="s">
        <v>81</v>
      </c>
      <c r="H48" s="2">
        <v>99</v>
      </c>
      <c r="I48" s="2">
        <v>86539.263331080205</v>
      </c>
      <c r="J48" s="3">
        <f>IFERROR(I48/H48,"")</f>
        <v>874.13397304121418</v>
      </c>
      <c r="K48" s="4">
        <f>IFERROR(H48/I48,"")</f>
        <v>1.1439894007561372E-3</v>
      </c>
    </row>
    <row r="49" spans="1:11">
      <c r="A49" t="s">
        <v>11</v>
      </c>
      <c r="B49" t="s">
        <v>48</v>
      </c>
      <c r="C49" t="s">
        <v>43</v>
      </c>
      <c r="D49" t="s">
        <v>14</v>
      </c>
      <c r="E49" t="s">
        <v>15</v>
      </c>
      <c r="F49" t="s">
        <v>16</v>
      </c>
      <c r="G49" s="6" t="s">
        <v>82</v>
      </c>
      <c r="H49" s="2">
        <v>404</v>
      </c>
      <c r="I49" s="2">
        <v>342445.6229627686</v>
      </c>
      <c r="J49" s="3">
        <f>IFERROR(I49/H49,"")</f>
        <v>847.6376806009124</v>
      </c>
      <c r="K49" s="4">
        <f>IFERROR(H49/I49,"")</f>
        <v>1.1797493467858508E-3</v>
      </c>
    </row>
    <row r="50" spans="1:11">
      <c r="A50" t="s">
        <v>18</v>
      </c>
      <c r="B50" t="s">
        <v>48</v>
      </c>
      <c r="C50" t="s">
        <v>43</v>
      </c>
      <c r="D50" t="s">
        <v>14</v>
      </c>
      <c r="E50" t="s">
        <v>15</v>
      </c>
      <c r="F50" t="s">
        <v>16</v>
      </c>
      <c r="G50" s="6">
        <v>2024</v>
      </c>
      <c r="H50" s="2">
        <v>3045</v>
      </c>
      <c r="I50" s="2">
        <v>2541086.7192363818</v>
      </c>
      <c r="J50" s="3">
        <f>IFERROR(I50/H50,"")</f>
        <v>834.51123784446031</v>
      </c>
      <c r="K50" s="4">
        <f>IFERROR(H50/I50,"")</f>
        <v>1.1983062116491044E-3</v>
      </c>
    </row>
    <row r="51" spans="1:11">
      <c r="A51" t="s">
        <v>19</v>
      </c>
      <c r="B51" t="s">
        <v>47</v>
      </c>
      <c r="C51" t="s">
        <v>13</v>
      </c>
      <c r="D51" t="s">
        <v>33</v>
      </c>
      <c r="E51" t="s">
        <v>15</v>
      </c>
      <c r="F51" t="s">
        <v>16</v>
      </c>
      <c r="G51" s="6">
        <v>2025</v>
      </c>
      <c r="H51" s="2">
        <v>677</v>
      </c>
      <c r="I51" s="2">
        <v>558746.85599713866</v>
      </c>
      <c r="J51" s="3">
        <f>IFERROR(I51/H51,"")</f>
        <v>825.32770457479864</v>
      </c>
      <c r="K51" s="4">
        <f>IFERROR(H51/I51,"")</f>
        <v>1.2116399273367311E-3</v>
      </c>
    </row>
    <row r="52" spans="1:11">
      <c r="A52" t="s">
        <v>18</v>
      </c>
      <c r="B52" t="s">
        <v>69</v>
      </c>
      <c r="C52" t="s">
        <v>40</v>
      </c>
      <c r="D52" t="s">
        <v>21</v>
      </c>
      <c r="E52" t="s">
        <v>15</v>
      </c>
      <c r="F52" t="s">
        <v>16</v>
      </c>
      <c r="G52" s="6" t="s">
        <v>81</v>
      </c>
      <c r="H52" s="2">
        <v>363</v>
      </c>
      <c r="I52" s="2">
        <v>298615.7593235891</v>
      </c>
      <c r="J52" s="3">
        <f>IFERROR(I52/H52,"")</f>
        <v>822.63294579501132</v>
      </c>
      <c r="K52" s="4">
        <f>IFERROR(H52/I52,"")</f>
        <v>1.2156089846773364E-3</v>
      </c>
    </row>
    <row r="53" spans="1:11">
      <c r="A53" t="s">
        <v>17</v>
      </c>
      <c r="B53" t="s">
        <v>80</v>
      </c>
      <c r="C53" t="s">
        <v>25</v>
      </c>
      <c r="D53" t="s">
        <v>14</v>
      </c>
      <c r="E53" t="s">
        <v>15</v>
      </c>
      <c r="F53" t="s">
        <v>26</v>
      </c>
      <c r="G53" s="6">
        <v>2025</v>
      </c>
      <c r="H53" s="2">
        <v>2991</v>
      </c>
      <c r="I53" s="2">
        <v>2446000</v>
      </c>
      <c r="J53" s="3">
        <f>IFERROR(I53/H53,"")</f>
        <v>817.78669341357408</v>
      </c>
      <c r="K53" s="4">
        <f>IFERROR(H53/I53,"")</f>
        <v>1.2228127555192151E-3</v>
      </c>
    </row>
    <row r="54" spans="1:11">
      <c r="A54" t="s">
        <v>17</v>
      </c>
      <c r="B54" t="s">
        <v>50</v>
      </c>
      <c r="C54" t="s">
        <v>43</v>
      </c>
      <c r="D54" t="s">
        <v>14</v>
      </c>
      <c r="E54" t="s">
        <v>15</v>
      </c>
      <c r="F54" t="s">
        <v>16</v>
      </c>
      <c r="G54" s="6">
        <v>2024</v>
      </c>
      <c r="H54" s="2">
        <v>365</v>
      </c>
      <c r="I54" s="2">
        <v>296073.65578396939</v>
      </c>
      <c r="J54" s="3">
        <f>IFERROR(I54/H54,"")</f>
        <v>811.16070077799827</v>
      </c>
      <c r="K54" s="4">
        <f>IFERROR(H54/I54,"")</f>
        <v>1.2328013413875729E-3</v>
      </c>
    </row>
    <row r="55" spans="1:11">
      <c r="A55" t="s">
        <v>18</v>
      </c>
      <c r="B55" t="s">
        <v>79</v>
      </c>
      <c r="C55" t="s">
        <v>25</v>
      </c>
      <c r="D55" t="s">
        <v>21</v>
      </c>
      <c r="E55" t="s">
        <v>15</v>
      </c>
      <c r="F55" t="s">
        <v>26</v>
      </c>
      <c r="G55" s="6">
        <v>2025</v>
      </c>
      <c r="H55" s="2">
        <v>2975</v>
      </c>
      <c r="I55" s="2">
        <v>2413037.763062425</v>
      </c>
      <c r="J55" s="3">
        <f>IFERROR(I55/H55,"")</f>
        <v>811.10513044115123</v>
      </c>
      <c r="K55" s="4">
        <f>IFERROR(H55/I55,"")</f>
        <v>1.232885802924352E-3</v>
      </c>
    </row>
    <row r="56" spans="1:11">
      <c r="A56" t="s">
        <v>19</v>
      </c>
      <c r="B56" t="s">
        <v>77</v>
      </c>
      <c r="C56" t="s">
        <v>25</v>
      </c>
      <c r="D56" t="s">
        <v>14</v>
      </c>
      <c r="E56" t="s">
        <v>15</v>
      </c>
      <c r="F56" t="s">
        <v>26</v>
      </c>
      <c r="G56" s="6">
        <v>2025</v>
      </c>
      <c r="H56" s="2">
        <v>315</v>
      </c>
      <c r="I56" s="2">
        <v>255169</v>
      </c>
      <c r="J56" s="3">
        <f>IFERROR(I56/H56,"")</f>
        <v>810.06031746031749</v>
      </c>
      <c r="K56" s="4">
        <f>IFERROR(H56/I56,"")</f>
        <v>1.2344759747461487E-3</v>
      </c>
    </row>
    <row r="57" spans="1:11">
      <c r="A57" t="s">
        <v>19</v>
      </c>
      <c r="B57" t="s">
        <v>47</v>
      </c>
      <c r="C57" t="s">
        <v>13</v>
      </c>
      <c r="D57" t="s">
        <v>33</v>
      </c>
      <c r="E57" t="s">
        <v>15</v>
      </c>
      <c r="F57" t="s">
        <v>16</v>
      </c>
      <c r="G57" s="6">
        <v>2024</v>
      </c>
      <c r="H57" s="2">
        <v>795</v>
      </c>
      <c r="I57" s="2">
        <v>623985.09843209805</v>
      </c>
      <c r="J57" s="3">
        <f>IFERROR(I57/H57,"")</f>
        <v>784.88691626678997</v>
      </c>
      <c r="K57" s="4">
        <f>IFERROR(H57/I57,"")</f>
        <v>1.2740688872180043E-3</v>
      </c>
    </row>
    <row r="58" spans="1:11">
      <c r="A58" t="s">
        <v>18</v>
      </c>
      <c r="B58" t="s">
        <v>60</v>
      </c>
      <c r="C58" t="s">
        <v>61</v>
      </c>
      <c r="D58" t="s">
        <v>14</v>
      </c>
      <c r="E58" t="s">
        <v>62</v>
      </c>
      <c r="F58" t="s">
        <v>16</v>
      </c>
      <c r="G58" s="6" t="s">
        <v>81</v>
      </c>
      <c r="H58" s="2">
        <v>173</v>
      </c>
      <c r="I58" s="2">
        <v>135299.1947827432</v>
      </c>
      <c r="J58" s="3">
        <f>IFERROR(I58/H58,"")</f>
        <v>782.07627042048091</v>
      </c>
      <c r="K58" s="4">
        <f>IFERROR(H58/I58,"")</f>
        <v>1.2786476688039046E-3</v>
      </c>
    </row>
    <row r="59" spans="1:11">
      <c r="A59" t="s">
        <v>18</v>
      </c>
      <c r="B59" t="s">
        <v>60</v>
      </c>
      <c r="C59" t="s">
        <v>61</v>
      </c>
      <c r="D59" t="s">
        <v>14</v>
      </c>
      <c r="E59" t="s">
        <v>62</v>
      </c>
      <c r="F59" t="s">
        <v>16</v>
      </c>
      <c r="G59" s="6">
        <v>2024</v>
      </c>
      <c r="H59" s="2">
        <v>714</v>
      </c>
      <c r="I59" s="2">
        <v>554492.70608439401</v>
      </c>
      <c r="J59" s="3">
        <f>IFERROR(I59/H59,"")</f>
        <v>776.60042868962751</v>
      </c>
      <c r="K59" s="4">
        <f>IFERROR(H59/I59,"")</f>
        <v>1.2876634663817001E-3</v>
      </c>
    </row>
    <row r="60" spans="1:11">
      <c r="A60" t="s">
        <v>17</v>
      </c>
      <c r="B60" t="s">
        <v>51</v>
      </c>
      <c r="C60" t="s">
        <v>13</v>
      </c>
      <c r="D60" t="s">
        <v>14</v>
      </c>
      <c r="E60" t="s">
        <v>15</v>
      </c>
      <c r="F60" t="s">
        <v>16</v>
      </c>
      <c r="G60" s="6">
        <v>2024</v>
      </c>
      <c r="H60" s="2">
        <v>541</v>
      </c>
      <c r="I60" s="2">
        <v>411607.86626032909</v>
      </c>
      <c r="J60" s="3">
        <f>IFERROR(I60/H60,"")</f>
        <v>760.8278489100353</v>
      </c>
      <c r="K60" s="4">
        <f>IFERROR(H60/I60,"")</f>
        <v>1.3143577767725032E-3</v>
      </c>
    </row>
    <row r="61" spans="1:11">
      <c r="A61" t="s">
        <v>18</v>
      </c>
      <c r="B61" t="s">
        <v>69</v>
      </c>
      <c r="C61" t="s">
        <v>40</v>
      </c>
      <c r="D61" t="s">
        <v>21</v>
      </c>
      <c r="E61" t="s">
        <v>15</v>
      </c>
      <c r="F61" t="s">
        <v>16</v>
      </c>
      <c r="G61" s="6" t="s">
        <v>82</v>
      </c>
      <c r="H61" s="2">
        <v>317</v>
      </c>
      <c r="I61" s="2">
        <v>240455.70496809311</v>
      </c>
      <c r="J61" s="3">
        <f>IFERROR(I61/H61,"")</f>
        <v>758.53534690250194</v>
      </c>
      <c r="K61" s="4">
        <f>IFERROR(H61/I61,"")</f>
        <v>1.3183301267152875E-3</v>
      </c>
    </row>
    <row r="62" spans="1:11">
      <c r="A62" t="s">
        <v>13</v>
      </c>
      <c r="B62" t="s">
        <v>42</v>
      </c>
      <c r="C62" t="s">
        <v>43</v>
      </c>
      <c r="D62" t="s">
        <v>14</v>
      </c>
      <c r="E62" t="s">
        <v>15</v>
      </c>
      <c r="F62" t="s">
        <v>16</v>
      </c>
      <c r="G62" s="6">
        <v>2024</v>
      </c>
      <c r="H62" s="2">
        <v>918</v>
      </c>
      <c r="I62" s="2">
        <v>662633.28646534274</v>
      </c>
      <c r="J62" s="3">
        <f>IFERROR(I62/H62,"")</f>
        <v>721.82275214089623</v>
      </c>
      <c r="K62" s="4">
        <f>IFERROR(H62/I62,"")</f>
        <v>1.3853816564164008E-3</v>
      </c>
    </row>
    <row r="63" spans="1:11">
      <c r="A63" t="s">
        <v>19</v>
      </c>
      <c r="B63" t="s">
        <v>51</v>
      </c>
      <c r="C63" t="s">
        <v>13</v>
      </c>
      <c r="D63" t="s">
        <v>14</v>
      </c>
      <c r="E63" t="s">
        <v>15</v>
      </c>
      <c r="F63" t="s">
        <v>16</v>
      </c>
      <c r="G63" s="6">
        <v>2024</v>
      </c>
      <c r="H63" s="2">
        <v>469</v>
      </c>
      <c r="I63" s="2">
        <v>337004.90757769247</v>
      </c>
      <c r="J63" s="3">
        <f>IFERROR(I63/H63,"")</f>
        <v>718.56057052812889</v>
      </c>
      <c r="K63" s="4">
        <f>IFERROR(H63/I63,"")</f>
        <v>1.391671128385208E-3</v>
      </c>
    </row>
    <row r="64" spans="1:11">
      <c r="A64" t="s">
        <v>13</v>
      </c>
      <c r="B64" t="s">
        <v>47</v>
      </c>
      <c r="C64" t="s">
        <v>13</v>
      </c>
      <c r="D64" t="s">
        <v>33</v>
      </c>
      <c r="E64" t="s">
        <v>15</v>
      </c>
      <c r="F64" t="s">
        <v>16</v>
      </c>
      <c r="G64" s="6" t="s">
        <v>82</v>
      </c>
      <c r="H64" s="2">
        <v>283</v>
      </c>
      <c r="I64" s="2">
        <v>199408.2512656441</v>
      </c>
      <c r="J64" s="3">
        <f>IFERROR(I64/H64,"")</f>
        <v>704.62279599167528</v>
      </c>
      <c r="K64" s="4">
        <f>IFERROR(H64/I64,"")</f>
        <v>1.4191990461969307E-3</v>
      </c>
    </row>
    <row r="65" spans="1:11">
      <c r="A65" t="s">
        <v>19</v>
      </c>
      <c r="B65" t="s">
        <v>76</v>
      </c>
      <c r="C65" t="s">
        <v>25</v>
      </c>
      <c r="D65" t="s">
        <v>21</v>
      </c>
      <c r="E65" t="s">
        <v>15</v>
      </c>
      <c r="F65" t="s">
        <v>26</v>
      </c>
      <c r="G65" s="6">
        <v>2025</v>
      </c>
      <c r="H65" s="2">
        <v>353</v>
      </c>
      <c r="I65" s="2">
        <v>246892.1289306244</v>
      </c>
      <c r="J65" s="3">
        <f>IFERROR(I65/H65,"")</f>
        <v>699.41113011508332</v>
      </c>
      <c r="K65" s="4">
        <f>IFERROR(H65/I65,"")</f>
        <v>1.4297742156826371E-3</v>
      </c>
    </row>
    <row r="66" spans="1:11">
      <c r="A66" t="s">
        <v>13</v>
      </c>
      <c r="B66" t="s">
        <v>39</v>
      </c>
      <c r="C66" t="s">
        <v>40</v>
      </c>
      <c r="D66" t="s">
        <v>21</v>
      </c>
      <c r="E66" t="s">
        <v>15</v>
      </c>
      <c r="F66" t="s">
        <v>16</v>
      </c>
      <c r="G66" s="6">
        <v>2024</v>
      </c>
      <c r="H66" s="2">
        <v>7449</v>
      </c>
      <c r="I66" s="2">
        <v>5100371.7752606422</v>
      </c>
      <c r="J66" s="3">
        <f>IFERROR(I66/H66,"")</f>
        <v>684.70556789644809</v>
      </c>
      <c r="K66" s="4">
        <f>IFERROR(H66/I66,"")</f>
        <v>1.4604817703939507E-3</v>
      </c>
    </row>
    <row r="67" spans="1:11">
      <c r="A67" t="s">
        <v>19</v>
      </c>
      <c r="B67" t="s">
        <v>51</v>
      </c>
      <c r="C67" t="s">
        <v>13</v>
      </c>
      <c r="D67" t="s">
        <v>14</v>
      </c>
      <c r="E67" t="s">
        <v>15</v>
      </c>
      <c r="F67" t="s">
        <v>16</v>
      </c>
      <c r="G67" s="6" t="s">
        <v>81</v>
      </c>
      <c r="H67" s="2">
        <v>114</v>
      </c>
      <c r="I67" s="2">
        <v>77885.088267173807</v>
      </c>
      <c r="J67" s="3">
        <f>IFERROR(I67/H67,"")</f>
        <v>683.20252865941939</v>
      </c>
      <c r="K67" s="4">
        <f>IFERROR(H67/I67,"")</f>
        <v>1.4636948167656828E-3</v>
      </c>
    </row>
    <row r="68" spans="1:11">
      <c r="A68" t="s">
        <v>17</v>
      </c>
      <c r="B68" t="s">
        <v>32</v>
      </c>
      <c r="C68" t="s">
        <v>13</v>
      </c>
      <c r="D68" t="s">
        <v>33</v>
      </c>
      <c r="E68" t="s">
        <v>15</v>
      </c>
      <c r="F68" t="s">
        <v>16</v>
      </c>
      <c r="G68" s="6">
        <v>2025</v>
      </c>
      <c r="H68" s="2">
        <v>1746</v>
      </c>
      <c r="I68" s="2">
        <v>1190047.2665481786</v>
      </c>
      <c r="J68" s="3">
        <f>IFERROR(I68/H68,"")</f>
        <v>681.58491783973579</v>
      </c>
      <c r="K68" s="4">
        <f>IFERROR(H68/I68,"")</f>
        <v>1.4671686151293839E-3</v>
      </c>
    </row>
    <row r="69" spans="1:11">
      <c r="A69" t="s">
        <v>18</v>
      </c>
      <c r="B69" t="s">
        <v>51</v>
      </c>
      <c r="C69" t="s">
        <v>13</v>
      </c>
      <c r="D69" t="s">
        <v>14</v>
      </c>
      <c r="E69" t="s">
        <v>15</v>
      </c>
      <c r="F69" t="s">
        <v>16</v>
      </c>
      <c r="G69" s="6">
        <v>2025</v>
      </c>
      <c r="H69" s="2">
        <v>250</v>
      </c>
      <c r="I69" s="2">
        <v>170108.43740096322</v>
      </c>
      <c r="J69" s="3">
        <f>IFERROR(I69/H69,"")</f>
        <v>680.4337496038529</v>
      </c>
      <c r="K69" s="4">
        <f>IFERROR(H69/I69,"")</f>
        <v>1.4696507934566707E-3</v>
      </c>
    </row>
    <row r="70" spans="1:11">
      <c r="A70" t="s">
        <v>18</v>
      </c>
      <c r="B70" t="s">
        <v>51</v>
      </c>
      <c r="C70" t="s">
        <v>13</v>
      </c>
      <c r="D70" t="s">
        <v>14</v>
      </c>
      <c r="E70" t="s">
        <v>15</v>
      </c>
      <c r="F70" t="s">
        <v>16</v>
      </c>
      <c r="G70" s="6">
        <v>2024</v>
      </c>
      <c r="H70" s="2">
        <v>286</v>
      </c>
      <c r="I70" s="2">
        <v>192240.38714991661</v>
      </c>
      <c r="J70" s="3">
        <f>IFERROR(I70/H70,"")</f>
        <v>672.16918583886923</v>
      </c>
      <c r="K70" s="4">
        <f>IFERROR(H70/I70,"")</f>
        <v>1.4877206826314074E-3</v>
      </c>
    </row>
    <row r="71" spans="1:11">
      <c r="A71" t="s">
        <v>11</v>
      </c>
      <c r="B71" t="s">
        <v>63</v>
      </c>
      <c r="C71" t="s">
        <v>17</v>
      </c>
      <c r="D71" t="s">
        <v>33</v>
      </c>
      <c r="E71" t="s">
        <v>15</v>
      </c>
      <c r="F71" t="s">
        <v>16</v>
      </c>
      <c r="G71" s="6">
        <v>2025</v>
      </c>
      <c r="H71" s="2">
        <v>3849</v>
      </c>
      <c r="I71" s="2">
        <v>2574581.2066110969</v>
      </c>
      <c r="J71" s="3">
        <f>IFERROR(I71/H71,"")</f>
        <v>668.89613058225427</v>
      </c>
      <c r="K71" s="4">
        <f>IFERROR(H71/I71,"")</f>
        <v>1.4950004257455183E-3</v>
      </c>
    </row>
    <row r="72" spans="1:11">
      <c r="A72" t="s">
        <v>13</v>
      </c>
      <c r="B72" t="s">
        <v>39</v>
      </c>
      <c r="C72" t="s">
        <v>40</v>
      </c>
      <c r="D72" t="s">
        <v>21</v>
      </c>
      <c r="E72" t="s">
        <v>15</v>
      </c>
      <c r="F72" t="s">
        <v>16</v>
      </c>
      <c r="G72" s="6">
        <v>2025</v>
      </c>
      <c r="H72" s="2">
        <v>9717</v>
      </c>
      <c r="I72" s="2">
        <v>6499259.1858484317</v>
      </c>
      <c r="J72" s="3">
        <f>IFERROR(I72/H72,"")</f>
        <v>668.85450096206978</v>
      </c>
      <c r="K72" s="4">
        <f>IFERROR(H72/I72,"")</f>
        <v>1.4950934748313958E-3</v>
      </c>
    </row>
    <row r="73" spans="1:11">
      <c r="A73" t="s">
        <v>19</v>
      </c>
      <c r="B73" t="s">
        <v>31</v>
      </c>
      <c r="C73" t="s">
        <v>11</v>
      </c>
      <c r="D73" t="s">
        <v>21</v>
      </c>
      <c r="E73" t="s">
        <v>15</v>
      </c>
      <c r="F73" t="s">
        <v>16</v>
      </c>
      <c r="G73" s="6" t="s">
        <v>81</v>
      </c>
      <c r="H73" s="2">
        <v>230</v>
      </c>
      <c r="I73" s="2">
        <v>152359.7519432671</v>
      </c>
      <c r="J73" s="3">
        <f>IFERROR(I73/H73,"")</f>
        <v>662.43370410116131</v>
      </c>
      <c r="K73" s="4">
        <f>IFERROR(H73/I73,"")</f>
        <v>1.5095850253526479E-3</v>
      </c>
    </row>
    <row r="74" spans="1:11">
      <c r="A74" t="s">
        <v>18</v>
      </c>
      <c r="B74" t="s">
        <v>69</v>
      </c>
      <c r="C74" t="s">
        <v>40</v>
      </c>
      <c r="D74" t="s">
        <v>21</v>
      </c>
      <c r="E74" t="s">
        <v>15</v>
      </c>
      <c r="F74" t="s">
        <v>16</v>
      </c>
      <c r="G74" s="6">
        <v>2025</v>
      </c>
      <c r="H74" s="2">
        <v>1218</v>
      </c>
      <c r="I74" s="2">
        <v>786723.70587062044</v>
      </c>
      <c r="J74" s="3">
        <f>IFERROR(I74/H74,"")</f>
        <v>645.91437263597743</v>
      </c>
      <c r="K74" s="4">
        <f>IFERROR(H74/I74,"")</f>
        <v>1.5481928292120188E-3</v>
      </c>
    </row>
    <row r="75" spans="1:11">
      <c r="A75" t="s">
        <v>11</v>
      </c>
      <c r="B75" t="s">
        <v>63</v>
      </c>
      <c r="C75" t="s">
        <v>17</v>
      </c>
      <c r="D75" t="s">
        <v>33</v>
      </c>
      <c r="E75" t="s">
        <v>15</v>
      </c>
      <c r="F75" t="s">
        <v>16</v>
      </c>
      <c r="G75" s="6" t="s">
        <v>81</v>
      </c>
      <c r="H75" s="2">
        <v>1193</v>
      </c>
      <c r="I75" s="2">
        <v>768728.41637873603</v>
      </c>
      <c r="J75" s="3">
        <f>IFERROR(I75/H75,"")</f>
        <v>644.36581423196651</v>
      </c>
      <c r="K75" s="4">
        <f>IFERROR(H75/I75,"")</f>
        <v>1.5519134906185573E-3</v>
      </c>
    </row>
    <row r="76" spans="1:11">
      <c r="A76" t="s">
        <v>19</v>
      </c>
      <c r="B76" t="s">
        <v>51</v>
      </c>
      <c r="C76" t="s">
        <v>13</v>
      </c>
      <c r="D76" t="s">
        <v>14</v>
      </c>
      <c r="E76" t="s">
        <v>15</v>
      </c>
      <c r="F76" t="s">
        <v>16</v>
      </c>
      <c r="G76" s="6">
        <v>2025</v>
      </c>
      <c r="H76" s="2">
        <v>320</v>
      </c>
      <c r="I76" s="2">
        <v>205480.3174493656</v>
      </c>
      <c r="J76" s="3">
        <f>IFERROR(I76/H76,"")</f>
        <v>642.12599202926754</v>
      </c>
      <c r="K76" s="4">
        <f>IFERROR(H76/I76,"")</f>
        <v>1.5573267745162711E-3</v>
      </c>
    </row>
    <row r="77" spans="1:11">
      <c r="A77" t="s">
        <v>17</v>
      </c>
      <c r="B77" t="s">
        <v>50</v>
      </c>
      <c r="C77" t="s">
        <v>43</v>
      </c>
      <c r="D77" t="s">
        <v>14</v>
      </c>
      <c r="E77" t="s">
        <v>15</v>
      </c>
      <c r="F77" t="s">
        <v>16</v>
      </c>
      <c r="G77" s="6">
        <v>2025</v>
      </c>
      <c r="H77" s="2">
        <v>339</v>
      </c>
      <c r="I77" s="2">
        <v>216561.07535558401</v>
      </c>
      <c r="J77" s="3">
        <f>IFERROR(I77/H77,"")</f>
        <v>638.82323113741597</v>
      </c>
      <c r="K77" s="4">
        <f>IFERROR(H77/I77,"")</f>
        <v>1.5653782631222001E-3</v>
      </c>
    </row>
    <row r="78" spans="1:11">
      <c r="A78" t="s">
        <v>17</v>
      </c>
      <c r="B78" t="s">
        <v>50</v>
      </c>
      <c r="C78" t="s">
        <v>43</v>
      </c>
      <c r="D78" t="s">
        <v>14</v>
      </c>
      <c r="E78" t="s">
        <v>15</v>
      </c>
      <c r="F78" t="s">
        <v>16</v>
      </c>
      <c r="G78" s="6" t="s">
        <v>82</v>
      </c>
      <c r="H78" s="2">
        <v>98</v>
      </c>
      <c r="I78" s="2">
        <v>62298.028698265203</v>
      </c>
      <c r="J78" s="3">
        <f>IFERROR(I78/H78,"")</f>
        <v>635.6941703904613</v>
      </c>
      <c r="K78" s="4">
        <f>IFERROR(H78/I78,"")</f>
        <v>1.5730834835024079E-3</v>
      </c>
    </row>
    <row r="79" spans="1:11">
      <c r="A79" t="s">
        <v>17</v>
      </c>
      <c r="B79" t="s">
        <v>47</v>
      </c>
      <c r="C79" t="s">
        <v>13</v>
      </c>
      <c r="D79" t="s">
        <v>33</v>
      </c>
      <c r="E79" t="s">
        <v>15</v>
      </c>
      <c r="F79" t="s">
        <v>16</v>
      </c>
      <c r="G79" s="6">
        <v>2024</v>
      </c>
      <c r="H79" s="2">
        <v>1114</v>
      </c>
      <c r="I79" s="2">
        <v>707871.35854426143</v>
      </c>
      <c r="J79" s="3">
        <f>IFERROR(I79/H79,"")</f>
        <v>635.43209923183247</v>
      </c>
      <c r="K79" s="4">
        <f>IFERROR(H79/I79,"")</f>
        <v>1.5737322700708541E-3</v>
      </c>
    </row>
    <row r="80" spans="1:11">
      <c r="A80" t="s">
        <v>13</v>
      </c>
      <c r="B80" t="s">
        <v>39</v>
      </c>
      <c r="C80" t="s">
        <v>40</v>
      </c>
      <c r="D80" t="s">
        <v>21</v>
      </c>
      <c r="E80" t="s">
        <v>15</v>
      </c>
      <c r="F80" t="s">
        <v>16</v>
      </c>
      <c r="G80" s="6" t="s">
        <v>81</v>
      </c>
      <c r="H80" s="2">
        <v>3095</v>
      </c>
      <c r="I80" s="2">
        <v>1894492.552204221</v>
      </c>
      <c r="J80" s="3">
        <f>IFERROR(I80/H80,"")</f>
        <v>612.11391024369016</v>
      </c>
      <c r="K80" s="4">
        <f>IFERROR(H80/I80,"")</f>
        <v>1.6336828542286967E-3</v>
      </c>
    </row>
    <row r="81" spans="1:11">
      <c r="A81" t="s">
        <v>17</v>
      </c>
      <c r="B81" t="s">
        <v>47</v>
      </c>
      <c r="C81" t="s">
        <v>13</v>
      </c>
      <c r="D81" t="s">
        <v>33</v>
      </c>
      <c r="E81" t="s">
        <v>15</v>
      </c>
      <c r="F81" t="s">
        <v>16</v>
      </c>
      <c r="G81" s="6">
        <v>2025</v>
      </c>
      <c r="H81" s="2">
        <v>1153</v>
      </c>
      <c r="I81" s="2">
        <v>692187.63622807129</v>
      </c>
      <c r="J81" s="3">
        <f>IFERROR(I81/H81,"")</f>
        <v>600.33619794281981</v>
      </c>
      <c r="K81" s="4">
        <f>IFERROR(H81/I81,"")</f>
        <v>1.6657333064817904E-3</v>
      </c>
    </row>
    <row r="82" spans="1:11">
      <c r="A82" t="s">
        <v>17</v>
      </c>
      <c r="B82" t="s">
        <v>32</v>
      </c>
      <c r="C82" t="s">
        <v>13</v>
      </c>
      <c r="D82" t="s">
        <v>33</v>
      </c>
      <c r="E82" t="s">
        <v>15</v>
      </c>
      <c r="F82" t="s">
        <v>16</v>
      </c>
      <c r="G82" s="6">
        <v>2024</v>
      </c>
      <c r="H82" s="2">
        <v>1827</v>
      </c>
      <c r="I82" s="2">
        <v>1057222.2868655182</v>
      </c>
      <c r="J82" s="3">
        <f>IFERROR(I82/H82,"")</f>
        <v>578.66572899043138</v>
      </c>
      <c r="K82" s="4">
        <f>IFERROR(H82/I82,"")</f>
        <v>1.728113399327534E-3</v>
      </c>
    </row>
    <row r="83" spans="1:11">
      <c r="A83" t="s">
        <v>17</v>
      </c>
      <c r="B83" t="s">
        <v>32</v>
      </c>
      <c r="C83" t="s">
        <v>13</v>
      </c>
      <c r="D83" t="s">
        <v>33</v>
      </c>
      <c r="E83" t="s">
        <v>15</v>
      </c>
      <c r="F83" t="s">
        <v>16</v>
      </c>
      <c r="G83" s="6" t="s">
        <v>82</v>
      </c>
      <c r="H83" s="2">
        <v>606</v>
      </c>
      <c r="I83" s="2">
        <v>349425.92763204221</v>
      </c>
      <c r="J83" s="3">
        <f>IFERROR(I83/H83,"")</f>
        <v>576.61044163703332</v>
      </c>
      <c r="K83" s="4">
        <f>IFERROR(H83/I83,"")</f>
        <v>1.7342731379628455E-3</v>
      </c>
    </row>
    <row r="84" spans="1:11">
      <c r="A84" t="s">
        <v>18</v>
      </c>
      <c r="B84" t="s">
        <v>63</v>
      </c>
      <c r="C84" t="s">
        <v>17</v>
      </c>
      <c r="D84" t="s">
        <v>33</v>
      </c>
      <c r="E84" t="s">
        <v>15</v>
      </c>
      <c r="F84" t="s">
        <v>16</v>
      </c>
      <c r="G84" s="6">
        <v>2025</v>
      </c>
      <c r="H84" s="2">
        <v>3321</v>
      </c>
      <c r="I84" s="2">
        <v>1914768.3011221071</v>
      </c>
      <c r="J84" s="3">
        <f>IFERROR(I84/H84,"")</f>
        <v>576.56377630897532</v>
      </c>
      <c r="K84" s="4">
        <f>IFERROR(H84/I84,"")</f>
        <v>1.7344135047847838E-3</v>
      </c>
    </row>
    <row r="85" spans="1:11">
      <c r="A85" t="s">
        <v>18</v>
      </c>
      <c r="B85" t="s">
        <v>51</v>
      </c>
      <c r="C85" t="s">
        <v>13</v>
      </c>
      <c r="D85" t="s">
        <v>14</v>
      </c>
      <c r="E85" t="s">
        <v>15</v>
      </c>
      <c r="F85" t="s">
        <v>16</v>
      </c>
      <c r="G85" s="6" t="s">
        <v>81</v>
      </c>
      <c r="H85" s="2">
        <v>95</v>
      </c>
      <c r="I85" s="2">
        <v>53677.975608917499</v>
      </c>
      <c r="J85" s="3">
        <f>IFERROR(I85/H85,"")</f>
        <v>565.03132219913152</v>
      </c>
      <c r="K85" s="4">
        <f>IFERROR(H85/I85,"")</f>
        <v>1.769813390358516E-3</v>
      </c>
    </row>
    <row r="86" spans="1:11">
      <c r="A86" t="s">
        <v>18</v>
      </c>
      <c r="B86" t="s">
        <v>42</v>
      </c>
      <c r="C86" t="s">
        <v>43</v>
      </c>
      <c r="D86" t="s">
        <v>14</v>
      </c>
      <c r="E86" t="s">
        <v>15</v>
      </c>
      <c r="F86" t="s">
        <v>16</v>
      </c>
      <c r="G86" s="6">
        <v>2024</v>
      </c>
      <c r="H86" s="2">
        <v>1179</v>
      </c>
      <c r="I86" s="2">
        <v>658896.4392397987</v>
      </c>
      <c r="J86" s="3">
        <f>IFERROR(I86/H86,"")</f>
        <v>558.86042344342547</v>
      </c>
      <c r="K86" s="4">
        <f>IFERROR(H86/I86,"")</f>
        <v>1.7893555493489544E-3</v>
      </c>
    </row>
    <row r="87" spans="1:11">
      <c r="A87" t="s">
        <v>18</v>
      </c>
      <c r="B87" t="s">
        <v>20</v>
      </c>
      <c r="C87" t="s">
        <v>11</v>
      </c>
      <c r="D87" t="s">
        <v>21</v>
      </c>
      <c r="E87" t="s">
        <v>15</v>
      </c>
      <c r="F87" t="s">
        <v>16</v>
      </c>
      <c r="G87" s="6" t="s">
        <v>81</v>
      </c>
      <c r="H87" s="2">
        <v>90</v>
      </c>
      <c r="I87" s="2">
        <v>48214.343572994767</v>
      </c>
      <c r="J87" s="3">
        <f>IFERROR(I87/H87,"")</f>
        <v>535.71492858883073</v>
      </c>
      <c r="K87" s="4">
        <f>IFERROR(H87/I87,"")</f>
        <v>1.8666644266087178E-3</v>
      </c>
    </row>
    <row r="88" spans="1:11">
      <c r="A88" t="s">
        <v>18</v>
      </c>
      <c r="B88" t="s">
        <v>69</v>
      </c>
      <c r="C88" t="s">
        <v>40</v>
      </c>
      <c r="D88" t="s">
        <v>21</v>
      </c>
      <c r="E88" t="s">
        <v>15</v>
      </c>
      <c r="F88" t="s">
        <v>16</v>
      </c>
      <c r="G88" s="6">
        <v>2024</v>
      </c>
      <c r="H88" s="2">
        <v>1382</v>
      </c>
      <c r="I88" s="2">
        <v>731023.32752797613</v>
      </c>
      <c r="J88" s="3">
        <f>IFERROR(I88/H88,"")</f>
        <v>528.96043960056159</v>
      </c>
      <c r="K88" s="4">
        <f>IFERROR(H88/I88,"")</f>
        <v>1.8905005462320369E-3</v>
      </c>
    </row>
    <row r="89" spans="1:11">
      <c r="A89" t="s">
        <v>17</v>
      </c>
      <c r="B89" t="s">
        <v>50</v>
      </c>
      <c r="C89" t="s">
        <v>43</v>
      </c>
      <c r="D89" t="s">
        <v>14</v>
      </c>
      <c r="E89" t="s">
        <v>15</v>
      </c>
      <c r="F89" t="s">
        <v>16</v>
      </c>
      <c r="G89" s="6" t="s">
        <v>81</v>
      </c>
      <c r="H89" s="2">
        <v>125</v>
      </c>
      <c r="I89" s="2">
        <v>64553.0148817269</v>
      </c>
      <c r="J89" s="3">
        <f>IFERROR(I89/H89,"")</f>
        <v>516.42411905381516</v>
      </c>
      <c r="K89" s="4">
        <f>IFERROR(H89/I89,"")</f>
        <v>1.9363929047934198E-3</v>
      </c>
    </row>
    <row r="90" spans="1:11">
      <c r="A90" t="s">
        <v>19</v>
      </c>
      <c r="B90" t="s">
        <v>20</v>
      </c>
      <c r="C90" t="s">
        <v>11</v>
      </c>
      <c r="D90" t="s">
        <v>21</v>
      </c>
      <c r="E90" t="s">
        <v>15</v>
      </c>
      <c r="F90" t="s">
        <v>16</v>
      </c>
      <c r="G90" s="6">
        <v>2024</v>
      </c>
      <c r="H90" s="2">
        <v>371</v>
      </c>
      <c r="I90" s="2">
        <v>188700.10422798758</v>
      </c>
      <c r="J90" s="3">
        <f>IFERROR(I90/H90,"")</f>
        <v>508.62561786519564</v>
      </c>
      <c r="K90" s="4">
        <f>IFERROR(H90/I90,"")</f>
        <v>1.9660826448286302E-3</v>
      </c>
    </row>
    <row r="91" spans="1:11">
      <c r="A91" t="s">
        <v>11</v>
      </c>
      <c r="B91" t="s">
        <v>60</v>
      </c>
      <c r="C91" t="s">
        <v>61</v>
      </c>
      <c r="D91" t="s">
        <v>14</v>
      </c>
      <c r="E91" t="s">
        <v>62</v>
      </c>
      <c r="F91" t="s">
        <v>16</v>
      </c>
      <c r="G91" s="6" t="s">
        <v>82</v>
      </c>
      <c r="H91" s="2">
        <v>297</v>
      </c>
      <c r="I91" s="2">
        <v>150205.9664656808</v>
      </c>
      <c r="J91" s="3">
        <f>IFERROR(I91/H91,"")</f>
        <v>505.74399483394211</v>
      </c>
      <c r="K91" s="4">
        <f>IFERROR(H91/I91,"")</f>
        <v>1.9772849706862932E-3</v>
      </c>
    </row>
    <row r="92" spans="1:11">
      <c r="A92" t="s">
        <v>17</v>
      </c>
      <c r="B92" t="s">
        <v>32</v>
      </c>
      <c r="C92" t="s">
        <v>13</v>
      </c>
      <c r="D92" t="s">
        <v>33</v>
      </c>
      <c r="E92" t="s">
        <v>15</v>
      </c>
      <c r="F92" t="s">
        <v>16</v>
      </c>
      <c r="G92" s="6" t="s">
        <v>81</v>
      </c>
      <c r="H92" s="2">
        <v>640</v>
      </c>
      <c r="I92" s="2">
        <v>318151.58761899732</v>
      </c>
      <c r="J92" s="3">
        <f>IFERROR(I92/H92,"")</f>
        <v>497.11185565468332</v>
      </c>
      <c r="K92" s="4">
        <f>IFERROR(H92/I92,"")</f>
        <v>2.0116196961004404E-3</v>
      </c>
    </row>
    <row r="93" spans="1:11">
      <c r="A93" t="s">
        <v>19</v>
      </c>
      <c r="B93" t="s">
        <v>50</v>
      </c>
      <c r="C93" t="s">
        <v>43</v>
      </c>
      <c r="D93" t="s">
        <v>14</v>
      </c>
      <c r="E93" t="s">
        <v>15</v>
      </c>
      <c r="F93" t="s">
        <v>16</v>
      </c>
      <c r="G93" s="6">
        <v>2024</v>
      </c>
      <c r="H93" s="2">
        <v>1671</v>
      </c>
      <c r="I93" s="2">
        <v>824244.20840719016</v>
      </c>
      <c r="J93" s="3">
        <f>IFERROR(I93/H93,"")</f>
        <v>493.26403854409944</v>
      </c>
      <c r="K93" s="4">
        <f>IFERROR(H93/I93,"")</f>
        <v>2.0273117881278442E-3</v>
      </c>
    </row>
    <row r="94" spans="1:11">
      <c r="A94" t="s">
        <v>17</v>
      </c>
      <c r="B94" t="s">
        <v>39</v>
      </c>
      <c r="C94" t="s">
        <v>40</v>
      </c>
      <c r="D94" t="s">
        <v>21</v>
      </c>
      <c r="E94" t="s">
        <v>15</v>
      </c>
      <c r="F94" t="s">
        <v>16</v>
      </c>
      <c r="G94" s="6">
        <v>2025</v>
      </c>
      <c r="H94" s="2">
        <v>7269</v>
      </c>
      <c r="I94" s="2">
        <v>3566234.4719482511</v>
      </c>
      <c r="J94" s="3">
        <f>IFERROR(I94/H94,"")</f>
        <v>490.60867683976488</v>
      </c>
      <c r="K94" s="4">
        <f>IFERROR(H94/I94,"")</f>
        <v>2.0382843745069038E-3</v>
      </c>
    </row>
    <row r="95" spans="1:11">
      <c r="A95" t="s">
        <v>13</v>
      </c>
      <c r="B95" t="s">
        <v>39</v>
      </c>
      <c r="C95" t="s">
        <v>40</v>
      </c>
      <c r="D95" t="s">
        <v>21</v>
      </c>
      <c r="E95" t="s">
        <v>15</v>
      </c>
      <c r="F95" t="s">
        <v>16</v>
      </c>
      <c r="G95" s="6" t="s">
        <v>82</v>
      </c>
      <c r="H95" s="2">
        <v>4537</v>
      </c>
      <c r="I95" s="2">
        <v>2208834.3272782601</v>
      </c>
      <c r="J95" s="3">
        <f>IFERROR(I95/H95,"")</f>
        <v>486.84909131105582</v>
      </c>
      <c r="K95" s="4">
        <f>IFERROR(H95/I95,"")</f>
        <v>2.0540245793764537E-3</v>
      </c>
    </row>
    <row r="96" spans="1:11">
      <c r="A96" t="s">
        <v>17</v>
      </c>
      <c r="B96" t="s">
        <v>39</v>
      </c>
      <c r="C96" t="s">
        <v>40</v>
      </c>
      <c r="D96" t="s">
        <v>21</v>
      </c>
      <c r="E96" t="s">
        <v>15</v>
      </c>
      <c r="F96" t="s">
        <v>16</v>
      </c>
      <c r="G96" s="6">
        <v>2024</v>
      </c>
      <c r="H96" s="2">
        <v>7063</v>
      </c>
      <c r="I96" s="2">
        <v>3424615.5036380491</v>
      </c>
      <c r="J96" s="3">
        <f>IFERROR(I96/H96,"")</f>
        <v>484.86698338355501</v>
      </c>
      <c r="K96" s="4">
        <f>IFERROR(H96/I96,"")</f>
        <v>2.0624213119682516E-3</v>
      </c>
    </row>
    <row r="97" spans="1:11">
      <c r="A97" t="s">
        <v>18</v>
      </c>
      <c r="B97" t="s">
        <v>63</v>
      </c>
      <c r="C97" t="s">
        <v>17</v>
      </c>
      <c r="D97" t="s">
        <v>33</v>
      </c>
      <c r="E97" t="s">
        <v>15</v>
      </c>
      <c r="F97" t="s">
        <v>16</v>
      </c>
      <c r="G97" s="6">
        <v>2024</v>
      </c>
      <c r="H97" s="2">
        <v>3866</v>
      </c>
      <c r="I97" s="2">
        <v>1863743.13617649</v>
      </c>
      <c r="J97" s="3">
        <f>IFERROR(I97/H97,"")</f>
        <v>482.08565343416711</v>
      </c>
      <c r="K97" s="4">
        <f>IFERROR(H97/I97,"")</f>
        <v>2.0743201812301153E-3</v>
      </c>
    </row>
    <row r="98" spans="1:11">
      <c r="A98" t="s">
        <v>13</v>
      </c>
      <c r="B98" t="s">
        <v>48</v>
      </c>
      <c r="C98" t="s">
        <v>43</v>
      </c>
      <c r="D98" t="s">
        <v>14</v>
      </c>
      <c r="E98" t="s">
        <v>15</v>
      </c>
      <c r="F98" t="s">
        <v>16</v>
      </c>
      <c r="G98" s="6">
        <v>2024</v>
      </c>
      <c r="H98" s="2">
        <v>9339</v>
      </c>
      <c r="I98" s="2">
        <v>4316591.1438773936</v>
      </c>
      <c r="J98" s="3">
        <f>IFERROR(I98/H98,"")</f>
        <v>462.21127999543779</v>
      </c>
      <c r="K98" s="4">
        <f>IFERROR(H98/I98,"")</f>
        <v>2.1635127554867776E-3</v>
      </c>
    </row>
    <row r="99" spans="1:11">
      <c r="A99" t="s">
        <v>17</v>
      </c>
      <c r="B99" t="s">
        <v>39</v>
      </c>
      <c r="C99" t="s">
        <v>40</v>
      </c>
      <c r="D99" t="s">
        <v>21</v>
      </c>
      <c r="E99" t="s">
        <v>15</v>
      </c>
      <c r="F99" t="s">
        <v>16</v>
      </c>
      <c r="G99" s="6" t="s">
        <v>81</v>
      </c>
      <c r="H99" s="2">
        <v>2621</v>
      </c>
      <c r="I99" s="2">
        <v>1191387.9112167179</v>
      </c>
      <c r="J99" s="3">
        <f>IFERROR(I99/H99,"")</f>
        <v>454.55471622156347</v>
      </c>
      <c r="K99" s="4">
        <f>IFERROR(H99/I99,"")</f>
        <v>2.1999551744009849E-3</v>
      </c>
    </row>
    <row r="100" spans="1:11">
      <c r="A100" t="s">
        <v>17</v>
      </c>
      <c r="B100" t="s">
        <v>47</v>
      </c>
      <c r="C100" t="s">
        <v>13</v>
      </c>
      <c r="D100" t="s">
        <v>33</v>
      </c>
      <c r="E100" t="s">
        <v>15</v>
      </c>
      <c r="F100" t="s">
        <v>16</v>
      </c>
      <c r="G100" s="6" t="s">
        <v>81</v>
      </c>
      <c r="H100" s="2">
        <v>488</v>
      </c>
      <c r="I100" s="2">
        <v>219718.05792325421</v>
      </c>
      <c r="J100" s="3">
        <f>IFERROR(I100/H100,"")</f>
        <v>450.24192197388157</v>
      </c>
      <c r="K100" s="4">
        <f>IFERROR(H100/I100,"")</f>
        <v>2.2210281877261748E-3</v>
      </c>
    </row>
    <row r="101" spans="1:11">
      <c r="A101" t="s">
        <v>18</v>
      </c>
      <c r="B101" t="s">
        <v>60</v>
      </c>
      <c r="C101" t="s">
        <v>61</v>
      </c>
      <c r="D101" t="s">
        <v>14</v>
      </c>
      <c r="E101" t="s">
        <v>62</v>
      </c>
      <c r="F101" t="s">
        <v>16</v>
      </c>
      <c r="G101" s="6">
        <v>2025</v>
      </c>
      <c r="H101" s="2">
        <v>842</v>
      </c>
      <c r="I101" s="2">
        <v>378405.30514385609</v>
      </c>
      <c r="J101" s="3">
        <f>IFERROR(I101/H101,"")</f>
        <v>449.41247641788135</v>
      </c>
      <c r="K101" s="4">
        <f>IFERROR(H101/I101,"")</f>
        <v>2.2251273662241651E-3</v>
      </c>
    </row>
    <row r="102" spans="1:11">
      <c r="A102" t="s">
        <v>18</v>
      </c>
      <c r="B102" t="s">
        <v>63</v>
      </c>
      <c r="C102" t="s">
        <v>17</v>
      </c>
      <c r="D102" t="s">
        <v>33</v>
      </c>
      <c r="E102" t="s">
        <v>15</v>
      </c>
      <c r="F102" t="s">
        <v>16</v>
      </c>
      <c r="G102" s="6" t="s">
        <v>82</v>
      </c>
      <c r="H102" s="2">
        <v>1328</v>
      </c>
      <c r="I102" s="2">
        <v>588368.18557923497</v>
      </c>
      <c r="J102" s="3">
        <f>IFERROR(I102/H102,"")</f>
        <v>443.04833251448417</v>
      </c>
      <c r="K102" s="4">
        <f>IFERROR(H102/I102,"")</f>
        <v>2.2570900883986693E-3</v>
      </c>
    </row>
    <row r="103" spans="1:11">
      <c r="A103" t="s">
        <v>18</v>
      </c>
      <c r="B103" t="s">
        <v>63</v>
      </c>
      <c r="C103" t="s">
        <v>17</v>
      </c>
      <c r="D103" t="s">
        <v>33</v>
      </c>
      <c r="E103" t="s">
        <v>15</v>
      </c>
      <c r="F103" t="s">
        <v>16</v>
      </c>
      <c r="G103" s="6" t="s">
        <v>81</v>
      </c>
      <c r="H103" s="2">
        <v>1379</v>
      </c>
      <c r="I103" s="2">
        <v>609221.45663225302</v>
      </c>
      <c r="J103" s="3">
        <f>IFERROR(I103/H103,"")</f>
        <v>441.78495767386005</v>
      </c>
      <c r="K103" s="4">
        <f>IFERROR(H103/I103,"")</f>
        <v>2.2635447011716326E-3</v>
      </c>
    </row>
    <row r="104" spans="1:11">
      <c r="A104" t="s">
        <v>17</v>
      </c>
      <c r="B104" t="s">
        <v>39</v>
      </c>
      <c r="C104" t="s">
        <v>40</v>
      </c>
      <c r="D104" t="s">
        <v>21</v>
      </c>
      <c r="E104" t="s">
        <v>15</v>
      </c>
      <c r="F104" t="s">
        <v>16</v>
      </c>
      <c r="G104" s="6" t="s">
        <v>82</v>
      </c>
      <c r="H104" s="2">
        <v>2924</v>
      </c>
      <c r="I104" s="2">
        <v>1286835.353366934</v>
      </c>
      <c r="J104" s="3">
        <f>IFERROR(I104/H104,"")</f>
        <v>440.09417009813063</v>
      </c>
      <c r="K104" s="4">
        <f>IFERROR(H104/I104,"")</f>
        <v>2.2722409610130114E-3</v>
      </c>
    </row>
    <row r="105" spans="1:11">
      <c r="A105" t="s">
        <v>17</v>
      </c>
      <c r="B105" t="s">
        <v>24</v>
      </c>
      <c r="C105" t="s">
        <v>25</v>
      </c>
      <c r="D105" t="s">
        <v>14</v>
      </c>
      <c r="E105" t="s">
        <v>15</v>
      </c>
      <c r="F105" t="s">
        <v>26</v>
      </c>
      <c r="G105" s="6">
        <v>2024</v>
      </c>
      <c r="H105" s="2">
        <v>2891</v>
      </c>
      <c r="I105" s="2">
        <v>1270508.7407239431</v>
      </c>
      <c r="J105" s="3">
        <f>IFERROR(I105/H105,"")</f>
        <v>439.47033577445285</v>
      </c>
      <c r="K105" s="4">
        <f>IFERROR(H105/I105,"")</f>
        <v>2.2754664390208694E-3</v>
      </c>
    </row>
    <row r="106" spans="1:11">
      <c r="A106" t="s">
        <v>17</v>
      </c>
      <c r="B106" t="s">
        <v>31</v>
      </c>
      <c r="C106" t="s">
        <v>11</v>
      </c>
      <c r="D106" t="s">
        <v>21</v>
      </c>
      <c r="E106" t="s">
        <v>15</v>
      </c>
      <c r="F106" t="s">
        <v>16</v>
      </c>
      <c r="G106" s="6" t="s">
        <v>82</v>
      </c>
      <c r="H106" s="2">
        <v>647</v>
      </c>
      <c r="I106" s="2">
        <v>279451.30058105441</v>
      </c>
      <c r="J106" s="3">
        <f>IFERROR(I106/H106,"")</f>
        <v>431.918548038724</v>
      </c>
      <c r="K106" s="4">
        <f>IFERROR(H106/I106,"")</f>
        <v>2.3152513466736888E-3</v>
      </c>
    </row>
    <row r="107" spans="1:11">
      <c r="A107" t="s">
        <v>18</v>
      </c>
      <c r="B107" t="s">
        <v>20</v>
      </c>
      <c r="C107" t="s">
        <v>11</v>
      </c>
      <c r="D107" t="s">
        <v>21</v>
      </c>
      <c r="E107" t="s">
        <v>15</v>
      </c>
      <c r="F107" t="s">
        <v>16</v>
      </c>
      <c r="G107" s="6">
        <v>2025</v>
      </c>
      <c r="H107" s="2">
        <v>418</v>
      </c>
      <c r="I107" s="2">
        <v>179976.6085434664</v>
      </c>
      <c r="J107" s="3">
        <f>IFERROR(I107/H107,"")</f>
        <v>430.56604914704877</v>
      </c>
      <c r="K107" s="4">
        <f>IFERROR(H107/I107,"")</f>
        <v>2.3225240401118473E-3</v>
      </c>
    </row>
    <row r="108" spans="1:11">
      <c r="A108" t="s">
        <v>17</v>
      </c>
      <c r="B108" t="s">
        <v>47</v>
      </c>
      <c r="C108" t="s">
        <v>13</v>
      </c>
      <c r="D108" t="s">
        <v>33</v>
      </c>
      <c r="E108" t="s">
        <v>15</v>
      </c>
      <c r="F108" t="s">
        <v>16</v>
      </c>
      <c r="G108" s="6" t="s">
        <v>82</v>
      </c>
      <c r="H108" s="2">
        <v>456</v>
      </c>
      <c r="I108" s="2">
        <v>190473.87494126061</v>
      </c>
      <c r="J108" s="3">
        <f>IFERROR(I108/H108,"")</f>
        <v>417.70586609925573</v>
      </c>
      <c r="K108" s="4">
        <f>IFERROR(H108/I108,"")</f>
        <v>2.3940291031545602E-3</v>
      </c>
    </row>
    <row r="109" spans="1:11">
      <c r="A109" t="s">
        <v>18</v>
      </c>
      <c r="B109" t="s">
        <v>60</v>
      </c>
      <c r="C109" t="s">
        <v>61</v>
      </c>
      <c r="D109" t="s">
        <v>14</v>
      </c>
      <c r="E109" t="s">
        <v>62</v>
      </c>
      <c r="F109" t="s">
        <v>16</v>
      </c>
      <c r="G109" s="6" t="s">
        <v>82</v>
      </c>
      <c r="H109" s="2">
        <v>344</v>
      </c>
      <c r="I109" s="2">
        <v>143304.77431954379</v>
      </c>
      <c r="J109" s="3">
        <f>IFERROR(I109/H109,"")</f>
        <v>416.58364627774358</v>
      </c>
      <c r="K109" s="4">
        <f>IFERROR(H109/I109,"")</f>
        <v>2.4004782927395151E-3</v>
      </c>
    </row>
    <row r="110" spans="1:11">
      <c r="A110" t="s">
        <v>17</v>
      </c>
      <c r="B110" t="s">
        <v>51</v>
      </c>
      <c r="C110" t="s">
        <v>13</v>
      </c>
      <c r="D110" t="s">
        <v>14</v>
      </c>
      <c r="E110" t="s">
        <v>15</v>
      </c>
      <c r="F110" t="s">
        <v>16</v>
      </c>
      <c r="G110" s="6" t="s">
        <v>82</v>
      </c>
      <c r="H110" s="2">
        <v>164</v>
      </c>
      <c r="I110" s="2">
        <v>66147.921983371998</v>
      </c>
      <c r="J110" s="3">
        <f>IFERROR(I110/H110,"")</f>
        <v>403.34098770348777</v>
      </c>
      <c r="K110" s="4">
        <f>IFERROR(H110/I110,"")</f>
        <v>2.4792917915278678E-3</v>
      </c>
    </row>
    <row r="111" spans="1:11">
      <c r="A111" t="s">
        <v>19</v>
      </c>
      <c r="B111" t="s">
        <v>31</v>
      </c>
      <c r="C111" t="s">
        <v>11</v>
      </c>
      <c r="D111" t="s">
        <v>21</v>
      </c>
      <c r="E111" t="s">
        <v>15</v>
      </c>
      <c r="F111" t="s">
        <v>16</v>
      </c>
      <c r="G111" s="6">
        <v>2024</v>
      </c>
      <c r="H111" s="2">
        <v>1152</v>
      </c>
      <c r="I111" s="2">
        <v>455576.49689268577</v>
      </c>
      <c r="J111" s="3">
        <f>IFERROR(I111/H111,"")</f>
        <v>395.46570910823419</v>
      </c>
      <c r="K111" s="4">
        <f>IFERROR(H111/I111,"")</f>
        <v>2.528664248172051E-3</v>
      </c>
    </row>
    <row r="112" spans="1:11">
      <c r="A112" t="s">
        <v>17</v>
      </c>
      <c r="B112" t="s">
        <v>20</v>
      </c>
      <c r="C112" t="s">
        <v>11</v>
      </c>
      <c r="D112" t="s">
        <v>21</v>
      </c>
      <c r="E112" t="s">
        <v>15</v>
      </c>
      <c r="F112" t="s">
        <v>16</v>
      </c>
      <c r="G112" s="6" t="s">
        <v>82</v>
      </c>
      <c r="H112" s="2">
        <v>498</v>
      </c>
      <c r="I112" s="2">
        <v>194932.6340634618</v>
      </c>
      <c r="J112" s="3">
        <f>IFERROR(I112/H112,"")</f>
        <v>391.43099209530482</v>
      </c>
      <c r="K112" s="4">
        <f>IFERROR(H112/I112,"")</f>
        <v>2.5547287266321573E-3</v>
      </c>
    </row>
    <row r="113" spans="1:11">
      <c r="A113" t="s">
        <v>17</v>
      </c>
      <c r="B113" t="s">
        <v>51</v>
      </c>
      <c r="C113" t="s">
        <v>13</v>
      </c>
      <c r="D113" t="s">
        <v>14</v>
      </c>
      <c r="E113" t="s">
        <v>15</v>
      </c>
      <c r="F113" t="s">
        <v>16</v>
      </c>
      <c r="G113" s="6">
        <v>2025</v>
      </c>
      <c r="H113" s="2">
        <v>635</v>
      </c>
      <c r="I113" s="2">
        <v>247468.2136260517</v>
      </c>
      <c r="J113" s="3">
        <f>IFERROR(I113/H113,"")</f>
        <v>389.71372224575072</v>
      </c>
      <c r="K113" s="4">
        <f>IFERROR(H113/I113,"")</f>
        <v>2.5659861147239952E-3</v>
      </c>
    </row>
    <row r="114" spans="1:11">
      <c r="A114" t="s">
        <v>17</v>
      </c>
      <c r="B114" t="s">
        <v>60</v>
      </c>
      <c r="C114" t="s">
        <v>61</v>
      </c>
      <c r="D114" t="s">
        <v>14</v>
      </c>
      <c r="E114" t="s">
        <v>62</v>
      </c>
      <c r="F114" t="s">
        <v>16</v>
      </c>
      <c r="G114" s="6">
        <v>2024</v>
      </c>
      <c r="H114" s="2">
        <v>3181</v>
      </c>
      <c r="I114" s="2">
        <v>1235365.7108855483</v>
      </c>
      <c r="J114" s="3">
        <f>IFERROR(I114/H114,"")</f>
        <v>388.35765824757885</v>
      </c>
      <c r="K114" s="4">
        <f>IFERROR(H114/I114,"")</f>
        <v>2.5749460034144552E-3</v>
      </c>
    </row>
    <row r="115" spans="1:11">
      <c r="A115" t="s">
        <v>18</v>
      </c>
      <c r="B115" t="s">
        <v>70</v>
      </c>
      <c r="C115" t="s">
        <v>40</v>
      </c>
      <c r="D115" t="s">
        <v>21</v>
      </c>
      <c r="E115" t="s">
        <v>15</v>
      </c>
      <c r="F115" t="s">
        <v>16</v>
      </c>
      <c r="G115" s="6" t="s">
        <v>82</v>
      </c>
      <c r="H115" s="2">
        <v>1904</v>
      </c>
      <c r="I115" s="2">
        <v>733434.84677211498</v>
      </c>
      <c r="J115" s="3">
        <f>IFERROR(I115/H115,"")</f>
        <v>385.20737750636289</v>
      </c>
      <c r="K115" s="4">
        <f>IFERROR(H115/I115,"")</f>
        <v>2.5960042781981293E-3</v>
      </c>
    </row>
    <row r="116" spans="1:11">
      <c r="A116" t="s">
        <v>19</v>
      </c>
      <c r="B116" t="s">
        <v>37</v>
      </c>
      <c r="C116" t="s">
        <v>38</v>
      </c>
      <c r="D116" t="s">
        <v>14</v>
      </c>
      <c r="E116" t="s">
        <v>15</v>
      </c>
      <c r="F116" t="s">
        <v>16</v>
      </c>
      <c r="G116" s="6" t="s">
        <v>82</v>
      </c>
      <c r="H116" s="2">
        <v>363</v>
      </c>
      <c r="I116" s="2">
        <v>139829.68896387541</v>
      </c>
      <c r="J116" s="3">
        <f>IFERROR(I116/H116,"")</f>
        <v>385.20575472141985</v>
      </c>
      <c r="K116" s="4">
        <f>IFERROR(H116/I116,"")</f>
        <v>2.5960152145785005E-3</v>
      </c>
    </row>
    <row r="117" spans="1:11">
      <c r="A117" t="s">
        <v>13</v>
      </c>
      <c r="B117" t="s">
        <v>79</v>
      </c>
      <c r="C117" t="s">
        <v>25</v>
      </c>
      <c r="D117" t="s">
        <v>21</v>
      </c>
      <c r="E117" t="s">
        <v>15</v>
      </c>
      <c r="F117" t="s">
        <v>26</v>
      </c>
      <c r="G117" s="6">
        <v>2025</v>
      </c>
      <c r="H117" s="2">
        <v>7469</v>
      </c>
      <c r="I117" s="2">
        <v>2822000</v>
      </c>
      <c r="J117" s="3">
        <f>IFERROR(I117/H117,"")</f>
        <v>377.82835720980052</v>
      </c>
      <c r="K117" s="4">
        <f>IFERROR(H117/I117,"")</f>
        <v>2.6467044649184975E-3</v>
      </c>
    </row>
    <row r="118" spans="1:11">
      <c r="A118" t="s">
        <v>13</v>
      </c>
      <c r="B118" t="s">
        <v>24</v>
      </c>
      <c r="C118" t="s">
        <v>25</v>
      </c>
      <c r="D118" t="s">
        <v>14</v>
      </c>
      <c r="E118" t="s">
        <v>15</v>
      </c>
      <c r="F118" t="s">
        <v>26</v>
      </c>
      <c r="G118" s="6">
        <v>2024</v>
      </c>
      <c r="H118" s="2">
        <v>2786</v>
      </c>
      <c r="I118" s="2">
        <v>1037936.4794548042</v>
      </c>
      <c r="J118" s="3">
        <f>IFERROR(I118/H118,"")</f>
        <v>372.55437166360525</v>
      </c>
      <c r="K118" s="4">
        <f>IFERROR(H118/I118,"")</f>
        <v>2.6841719653821197E-3</v>
      </c>
    </row>
    <row r="119" spans="1:11">
      <c r="A119" t="s">
        <v>19</v>
      </c>
      <c r="B119" t="s">
        <v>37</v>
      </c>
      <c r="C119" t="s">
        <v>38</v>
      </c>
      <c r="D119" t="s">
        <v>14</v>
      </c>
      <c r="E119" t="s">
        <v>15</v>
      </c>
      <c r="F119" t="s">
        <v>16</v>
      </c>
      <c r="G119" s="6">
        <v>2025</v>
      </c>
      <c r="H119" s="2">
        <v>1157</v>
      </c>
      <c r="I119" s="2">
        <v>428865.7496918824</v>
      </c>
      <c r="J119" s="3">
        <f>IFERROR(I119/H119,"")</f>
        <v>370.67048374406431</v>
      </c>
      <c r="K119" s="4">
        <f>IFERROR(H119/I119,"")</f>
        <v>2.6978139448795898E-3</v>
      </c>
    </row>
    <row r="120" spans="1:11">
      <c r="A120" t="s">
        <v>17</v>
      </c>
      <c r="B120" t="s">
        <v>60</v>
      </c>
      <c r="C120" t="s">
        <v>61</v>
      </c>
      <c r="D120" t="s">
        <v>14</v>
      </c>
      <c r="E120" t="s">
        <v>62</v>
      </c>
      <c r="F120" t="s">
        <v>16</v>
      </c>
      <c r="G120" s="6" t="s">
        <v>81</v>
      </c>
      <c r="H120" s="2">
        <v>1158</v>
      </c>
      <c r="I120" s="2">
        <v>425244.9515936664</v>
      </c>
      <c r="J120" s="3">
        <f>IFERROR(I120/H120,"")</f>
        <v>367.22361968364976</v>
      </c>
      <c r="K120" s="4">
        <f>IFERROR(H120/I120,"")</f>
        <v>2.7231363844772974E-3</v>
      </c>
    </row>
    <row r="121" spans="1:11">
      <c r="A121" t="s">
        <v>18</v>
      </c>
      <c r="B121" t="s">
        <v>70</v>
      </c>
      <c r="C121" t="s">
        <v>40</v>
      </c>
      <c r="D121" t="s">
        <v>21</v>
      </c>
      <c r="E121" t="s">
        <v>15</v>
      </c>
      <c r="F121" t="s">
        <v>16</v>
      </c>
      <c r="G121" s="6">
        <v>2025</v>
      </c>
      <c r="H121" s="2">
        <v>5683</v>
      </c>
      <c r="I121" s="2">
        <v>2077283.938968844</v>
      </c>
      <c r="J121" s="3">
        <f>IFERROR(I121/H121,"")</f>
        <v>365.52594386219323</v>
      </c>
      <c r="K121" s="4">
        <f>IFERROR(H121/I121,"")</f>
        <v>2.7357839212009795E-3</v>
      </c>
    </row>
    <row r="122" spans="1:11">
      <c r="A122" t="s">
        <v>11</v>
      </c>
      <c r="B122" t="s">
        <v>63</v>
      </c>
      <c r="C122" t="s">
        <v>17</v>
      </c>
      <c r="D122" t="s">
        <v>33</v>
      </c>
      <c r="E122" t="s">
        <v>15</v>
      </c>
      <c r="F122" t="s">
        <v>16</v>
      </c>
      <c r="G122" s="6">
        <v>2024</v>
      </c>
      <c r="H122" s="2">
        <v>6573</v>
      </c>
      <c r="I122" s="2">
        <v>2394196.6140618459</v>
      </c>
      <c r="J122" s="3">
        <f>IFERROR(I122/H122,"")</f>
        <v>364.24716477435658</v>
      </c>
      <c r="K122" s="4">
        <f>IFERROR(H122/I122,"")</f>
        <v>2.7453885622403646E-3</v>
      </c>
    </row>
    <row r="123" spans="1:11">
      <c r="A123" t="s">
        <v>17</v>
      </c>
      <c r="B123" t="s">
        <v>78</v>
      </c>
      <c r="C123" t="s">
        <v>25</v>
      </c>
      <c r="D123" t="s">
        <v>21</v>
      </c>
      <c r="E123" t="s">
        <v>15</v>
      </c>
      <c r="F123" t="s">
        <v>26</v>
      </c>
      <c r="G123" s="6">
        <v>2025</v>
      </c>
      <c r="H123" s="2">
        <v>1429</v>
      </c>
      <c r="I123" s="2">
        <v>520000</v>
      </c>
      <c r="J123" s="3">
        <f>IFERROR(I123/H123,"")</f>
        <v>363.89083275017492</v>
      </c>
      <c r="K123" s="4">
        <f>IFERROR(H123/I123,"")</f>
        <v>2.748076923076923E-3</v>
      </c>
    </row>
    <row r="124" spans="1:11">
      <c r="A124" t="s">
        <v>13</v>
      </c>
      <c r="B124" t="s">
        <v>51</v>
      </c>
      <c r="C124" t="s">
        <v>13</v>
      </c>
      <c r="D124" t="s">
        <v>14</v>
      </c>
      <c r="E124" t="s">
        <v>15</v>
      </c>
      <c r="F124" t="s">
        <v>16</v>
      </c>
      <c r="G124" s="6" t="s">
        <v>82</v>
      </c>
      <c r="H124" s="2">
        <v>346</v>
      </c>
      <c r="I124" s="2">
        <v>124943.05589780389</v>
      </c>
      <c r="J124" s="3">
        <f>IFERROR(I124/H124,"")</f>
        <v>361.10709797053147</v>
      </c>
      <c r="K124" s="4">
        <f>IFERROR(H124/I124,"")</f>
        <v>2.7692615448993642E-3</v>
      </c>
    </row>
    <row r="125" spans="1:11">
      <c r="A125" t="s">
        <v>18</v>
      </c>
      <c r="B125" t="s">
        <v>31</v>
      </c>
      <c r="C125" t="s">
        <v>11</v>
      </c>
      <c r="D125" t="s">
        <v>21</v>
      </c>
      <c r="E125" t="s">
        <v>15</v>
      </c>
      <c r="F125" t="s">
        <v>16</v>
      </c>
      <c r="G125" s="6">
        <v>2025</v>
      </c>
      <c r="H125" s="2">
        <v>1848</v>
      </c>
      <c r="I125" s="2">
        <v>662524.58132685965</v>
      </c>
      <c r="J125" s="3">
        <f>IFERROR(I125/H125,"")</f>
        <v>358.50897257946951</v>
      </c>
      <c r="K125" s="4">
        <f>IFERROR(H125/I125,"")</f>
        <v>2.7893304672544374E-3</v>
      </c>
    </row>
    <row r="126" spans="1:11">
      <c r="A126" t="s">
        <v>19</v>
      </c>
      <c r="B126" t="s">
        <v>51</v>
      </c>
      <c r="C126" t="s">
        <v>13</v>
      </c>
      <c r="D126" t="s">
        <v>14</v>
      </c>
      <c r="E126" t="s">
        <v>15</v>
      </c>
      <c r="F126" t="s">
        <v>16</v>
      </c>
      <c r="G126" s="6" t="s">
        <v>82</v>
      </c>
      <c r="H126" s="2">
        <v>136</v>
      </c>
      <c r="I126" s="2">
        <v>48714.480430044801</v>
      </c>
      <c r="J126" s="3">
        <f>IFERROR(I126/H126,"")</f>
        <v>358.19470904444705</v>
      </c>
      <c r="K126" s="4">
        <f>IFERROR(H126/I126,"")</f>
        <v>2.7917776972967898E-3</v>
      </c>
    </row>
    <row r="127" spans="1:11">
      <c r="A127" t="s">
        <v>17</v>
      </c>
      <c r="B127" t="s">
        <v>51</v>
      </c>
      <c r="C127" t="s">
        <v>13</v>
      </c>
      <c r="D127" t="s">
        <v>14</v>
      </c>
      <c r="E127" t="s">
        <v>15</v>
      </c>
      <c r="F127" t="s">
        <v>16</v>
      </c>
      <c r="G127" s="6" t="s">
        <v>81</v>
      </c>
      <c r="H127" s="2">
        <v>245</v>
      </c>
      <c r="I127" s="2">
        <v>87409.584482249193</v>
      </c>
      <c r="J127" s="3">
        <f>IFERROR(I127/H127,"")</f>
        <v>356.77381421326203</v>
      </c>
      <c r="K127" s="4">
        <f>IFERROR(H127/I127,"")</f>
        <v>2.8028962893623371E-3</v>
      </c>
    </row>
    <row r="128" spans="1:11">
      <c r="A128" t="s">
        <v>18</v>
      </c>
      <c r="B128" t="s">
        <v>70</v>
      </c>
      <c r="C128" t="s">
        <v>40</v>
      </c>
      <c r="D128" t="s">
        <v>21</v>
      </c>
      <c r="E128" t="s">
        <v>15</v>
      </c>
      <c r="F128" t="s">
        <v>16</v>
      </c>
      <c r="G128" s="6">
        <v>2024</v>
      </c>
      <c r="H128" s="2">
        <v>6821</v>
      </c>
      <c r="I128" s="2">
        <v>2431477.8327946011</v>
      </c>
      <c r="J128" s="3">
        <f>IFERROR(I128/H128,"")</f>
        <v>356.46940812118476</v>
      </c>
      <c r="K128" s="4">
        <f>IFERROR(H128/I128,"")</f>
        <v>2.8052898151081779E-3</v>
      </c>
    </row>
    <row r="129" spans="1:11">
      <c r="A129" t="s">
        <v>17</v>
      </c>
      <c r="B129" t="s">
        <v>20</v>
      </c>
      <c r="C129" t="s">
        <v>11</v>
      </c>
      <c r="D129" t="s">
        <v>21</v>
      </c>
      <c r="E129" t="s">
        <v>15</v>
      </c>
      <c r="F129" t="s">
        <v>16</v>
      </c>
      <c r="G129" s="6">
        <v>2024</v>
      </c>
      <c r="H129" s="2">
        <v>447</v>
      </c>
      <c r="I129" s="2">
        <v>157738.03820545474</v>
      </c>
      <c r="J129" s="3">
        <f>IFERROR(I129/H129,"")</f>
        <v>352.88151723815378</v>
      </c>
      <c r="K129" s="4">
        <f>IFERROR(H129/I129,"")</f>
        <v>2.8338123453632651E-3</v>
      </c>
    </row>
    <row r="130" spans="1:11">
      <c r="A130" t="s">
        <v>19</v>
      </c>
      <c r="B130" t="s">
        <v>31</v>
      </c>
      <c r="C130" t="s">
        <v>11</v>
      </c>
      <c r="D130" t="s">
        <v>21</v>
      </c>
      <c r="E130" t="s">
        <v>15</v>
      </c>
      <c r="F130" t="s">
        <v>16</v>
      </c>
      <c r="G130" s="6">
        <v>2025</v>
      </c>
      <c r="H130" s="2">
        <v>1003</v>
      </c>
      <c r="I130" s="2">
        <v>349289.94595522963</v>
      </c>
      <c r="J130" s="3">
        <f>IFERROR(I130/H130,"")</f>
        <v>348.24521032425685</v>
      </c>
      <c r="K130" s="4">
        <f>IFERROR(H130/I130,"")</f>
        <v>2.8715398528206129E-3</v>
      </c>
    </row>
    <row r="131" spans="1:11">
      <c r="A131" t="s">
        <v>19</v>
      </c>
      <c r="B131" t="s">
        <v>12</v>
      </c>
      <c r="C131" t="s">
        <v>13</v>
      </c>
      <c r="D131" t="s">
        <v>14</v>
      </c>
      <c r="E131" t="s">
        <v>15</v>
      </c>
      <c r="F131" t="s">
        <v>16</v>
      </c>
      <c r="G131" s="6">
        <v>2024</v>
      </c>
      <c r="H131" s="2">
        <v>1666</v>
      </c>
      <c r="I131" s="2">
        <v>570629.02638191101</v>
      </c>
      <c r="J131" s="3">
        <f>IFERROR(I131/H131,"")</f>
        <v>342.51442159778571</v>
      </c>
      <c r="K131" s="4">
        <f>IFERROR(H131/I131,"")</f>
        <v>2.9195850946512809E-3</v>
      </c>
    </row>
    <row r="132" spans="1:11">
      <c r="A132" t="s">
        <v>19</v>
      </c>
      <c r="B132" t="s">
        <v>79</v>
      </c>
      <c r="C132" t="s">
        <v>25</v>
      </c>
      <c r="D132" t="s">
        <v>21</v>
      </c>
      <c r="E132" t="s">
        <v>15</v>
      </c>
      <c r="F132" t="s">
        <v>26</v>
      </c>
      <c r="G132" s="6">
        <v>2025</v>
      </c>
      <c r="H132" s="2">
        <v>2984</v>
      </c>
      <c r="I132" s="2">
        <v>1014000</v>
      </c>
      <c r="J132" s="3">
        <f>IFERROR(I132/H132,"")</f>
        <v>339.8123324396783</v>
      </c>
      <c r="K132" s="4">
        <f>IFERROR(H132/I132,"")</f>
        <v>2.9428007889546353E-3</v>
      </c>
    </row>
    <row r="133" spans="1:11">
      <c r="A133" t="s">
        <v>13</v>
      </c>
      <c r="B133" t="s">
        <v>57</v>
      </c>
      <c r="C133" t="s">
        <v>25</v>
      </c>
      <c r="D133" t="s">
        <v>21</v>
      </c>
      <c r="E133" t="s">
        <v>15</v>
      </c>
      <c r="F133" t="s">
        <v>26</v>
      </c>
      <c r="G133" s="6">
        <v>2024</v>
      </c>
      <c r="H133" s="2">
        <v>1830</v>
      </c>
      <c r="I133" s="2">
        <v>621780</v>
      </c>
      <c r="J133" s="3">
        <f>IFERROR(I133/H133,"")</f>
        <v>339.77049180327867</v>
      </c>
      <c r="K133" s="4">
        <f>IFERROR(H133/I133,"")</f>
        <v>2.9431631766862879E-3</v>
      </c>
    </row>
    <row r="134" spans="1:11">
      <c r="A134" t="s">
        <v>13</v>
      </c>
      <c r="B134" t="s">
        <v>63</v>
      </c>
      <c r="C134" t="s">
        <v>17</v>
      </c>
      <c r="D134" t="s">
        <v>33</v>
      </c>
      <c r="E134" t="s">
        <v>15</v>
      </c>
      <c r="F134" t="s">
        <v>16</v>
      </c>
      <c r="G134" s="6" t="s">
        <v>82</v>
      </c>
      <c r="H134" s="2">
        <v>2027</v>
      </c>
      <c r="I134" s="2">
        <v>682291.48515619803</v>
      </c>
      <c r="J134" s="3">
        <f>IFERROR(I134/H134,"")</f>
        <v>336.60162069866703</v>
      </c>
      <c r="K134" s="4">
        <f>IFERROR(H134/I134,"")</f>
        <v>2.9708710193502648E-3</v>
      </c>
    </row>
    <row r="135" spans="1:11">
      <c r="A135" t="s">
        <v>17</v>
      </c>
      <c r="B135" t="s">
        <v>20</v>
      </c>
      <c r="C135" t="s">
        <v>11</v>
      </c>
      <c r="D135" t="s">
        <v>21</v>
      </c>
      <c r="E135" t="s">
        <v>15</v>
      </c>
      <c r="F135" t="s">
        <v>16</v>
      </c>
      <c r="G135" s="6" t="s">
        <v>81</v>
      </c>
      <c r="H135" s="2">
        <v>247</v>
      </c>
      <c r="I135" s="2">
        <v>82799.678027022645</v>
      </c>
      <c r="J135" s="3">
        <f>IFERROR(I135/H135,"")</f>
        <v>335.22136853045606</v>
      </c>
      <c r="K135" s="4">
        <f>IFERROR(H135/I135,"")</f>
        <v>2.9831033874236643E-3</v>
      </c>
    </row>
    <row r="136" spans="1:11">
      <c r="A136" t="s">
        <v>13</v>
      </c>
      <c r="B136" t="s">
        <v>51</v>
      </c>
      <c r="C136" t="s">
        <v>13</v>
      </c>
      <c r="D136" t="s">
        <v>14</v>
      </c>
      <c r="E136" t="s">
        <v>15</v>
      </c>
      <c r="F136" t="s">
        <v>16</v>
      </c>
      <c r="G136" s="6" t="s">
        <v>81</v>
      </c>
      <c r="H136" s="2">
        <v>638</v>
      </c>
      <c r="I136" s="2">
        <v>212575.1987912404</v>
      </c>
      <c r="J136" s="3">
        <f>IFERROR(I136/H136,"")</f>
        <v>333.18996675743011</v>
      </c>
      <c r="K136" s="4">
        <f>IFERROR(H136/I136,"")</f>
        <v>3.0012908543792464E-3</v>
      </c>
    </row>
    <row r="137" spans="1:11">
      <c r="A137" t="s">
        <v>13</v>
      </c>
      <c r="B137" t="s">
        <v>51</v>
      </c>
      <c r="C137" t="s">
        <v>13</v>
      </c>
      <c r="D137" t="s">
        <v>14</v>
      </c>
      <c r="E137" t="s">
        <v>15</v>
      </c>
      <c r="F137" t="s">
        <v>16</v>
      </c>
      <c r="G137" s="6">
        <v>2024</v>
      </c>
      <c r="H137" s="2">
        <v>2241</v>
      </c>
      <c r="I137" s="2">
        <v>736145.32564563164</v>
      </c>
      <c r="J137" s="3">
        <f>IFERROR(I137/H137,"")</f>
        <v>328.48965892263794</v>
      </c>
      <c r="K137" s="4">
        <f>IFERROR(H137/I137,"")</f>
        <v>3.044235862035183E-3</v>
      </c>
    </row>
    <row r="138" spans="1:11">
      <c r="A138" t="s">
        <v>13</v>
      </c>
      <c r="B138" t="s">
        <v>63</v>
      </c>
      <c r="C138" t="s">
        <v>17</v>
      </c>
      <c r="D138" t="s">
        <v>33</v>
      </c>
      <c r="E138" t="s">
        <v>15</v>
      </c>
      <c r="F138" t="s">
        <v>16</v>
      </c>
      <c r="G138" s="6">
        <v>2025</v>
      </c>
      <c r="H138" s="2">
        <v>7120</v>
      </c>
      <c r="I138" s="2">
        <v>2297705.3367511258</v>
      </c>
      <c r="J138" s="3">
        <f>IFERROR(I138/H138,"")</f>
        <v>322.7114237010008</v>
      </c>
      <c r="K138" s="4">
        <f>IFERROR(H138/I138,"")</f>
        <v>3.0987437275431622E-3</v>
      </c>
    </row>
    <row r="139" spans="1:11">
      <c r="A139" t="s">
        <v>17</v>
      </c>
      <c r="B139" t="s">
        <v>49</v>
      </c>
      <c r="C139" t="s">
        <v>40</v>
      </c>
      <c r="D139" t="s">
        <v>14</v>
      </c>
      <c r="E139" t="s">
        <v>15</v>
      </c>
      <c r="F139" t="s">
        <v>16</v>
      </c>
      <c r="G139" s="6" t="s">
        <v>82</v>
      </c>
      <c r="H139" s="2">
        <v>1117</v>
      </c>
      <c r="I139" s="2">
        <v>354413.35107689188</v>
      </c>
      <c r="J139" s="3">
        <f>IFERROR(I139/H139,"")</f>
        <v>317.29037697125506</v>
      </c>
      <c r="K139" s="4">
        <f>IFERROR(H139/I139,"")</f>
        <v>3.1516871376486627E-3</v>
      </c>
    </row>
    <row r="140" spans="1:11">
      <c r="A140" t="s">
        <v>13</v>
      </c>
      <c r="B140" t="s">
        <v>69</v>
      </c>
      <c r="C140" t="s">
        <v>40</v>
      </c>
      <c r="D140" t="s">
        <v>21</v>
      </c>
      <c r="E140" t="s">
        <v>15</v>
      </c>
      <c r="F140" t="s">
        <v>16</v>
      </c>
      <c r="G140" s="6">
        <v>2024</v>
      </c>
      <c r="H140" s="2">
        <v>1661</v>
      </c>
      <c r="I140" s="2">
        <v>523061.6807020409</v>
      </c>
      <c r="J140" s="3">
        <f>IFERROR(I140/H140,"")</f>
        <v>314.90769458280607</v>
      </c>
      <c r="K140" s="4">
        <f>IFERROR(H140/I140,"")</f>
        <v>3.1755337109968472E-3</v>
      </c>
    </row>
    <row r="141" spans="1:11">
      <c r="A141" t="s">
        <v>17</v>
      </c>
      <c r="B141" t="s">
        <v>20</v>
      </c>
      <c r="C141" t="s">
        <v>11</v>
      </c>
      <c r="D141" t="s">
        <v>21</v>
      </c>
      <c r="E141" t="s">
        <v>15</v>
      </c>
      <c r="F141" t="s">
        <v>16</v>
      </c>
      <c r="G141" s="6">
        <v>2025</v>
      </c>
      <c r="H141" s="2">
        <v>1046</v>
      </c>
      <c r="I141" s="2">
        <v>325931.54059082392</v>
      </c>
      <c r="J141" s="3">
        <f>IFERROR(I141/H141,"")</f>
        <v>311.59803115757546</v>
      </c>
      <c r="K141" s="4">
        <f>IFERROR(H141/I141,"")</f>
        <v>3.2092628964471826E-3</v>
      </c>
    </row>
    <row r="142" spans="1:11">
      <c r="A142" t="s">
        <v>13</v>
      </c>
      <c r="B142" t="s">
        <v>48</v>
      </c>
      <c r="C142" t="s">
        <v>43</v>
      </c>
      <c r="D142" t="s">
        <v>14</v>
      </c>
      <c r="E142" t="s">
        <v>15</v>
      </c>
      <c r="F142" t="s">
        <v>16</v>
      </c>
      <c r="G142" s="6" t="s">
        <v>81</v>
      </c>
      <c r="H142" s="2">
        <v>2915</v>
      </c>
      <c r="I142" s="2">
        <v>905286.01594610501</v>
      </c>
      <c r="J142" s="3">
        <f>IFERROR(I142/H142,"")</f>
        <v>310.56124046178559</v>
      </c>
      <c r="K142" s="4">
        <f>IFERROR(H142/I142,"")</f>
        <v>3.2199768345626809E-3</v>
      </c>
    </row>
    <row r="143" spans="1:11">
      <c r="A143" t="s">
        <v>18</v>
      </c>
      <c r="B143" t="s">
        <v>70</v>
      </c>
      <c r="C143" t="s">
        <v>40</v>
      </c>
      <c r="D143" t="s">
        <v>21</v>
      </c>
      <c r="E143" t="s">
        <v>15</v>
      </c>
      <c r="F143" t="s">
        <v>16</v>
      </c>
      <c r="G143" s="6" t="s">
        <v>81</v>
      </c>
      <c r="H143" s="2">
        <v>2202</v>
      </c>
      <c r="I143" s="2">
        <v>672008.61981840595</v>
      </c>
      <c r="J143" s="3">
        <f>IFERROR(I143/H143,"")</f>
        <v>305.18102625722344</v>
      </c>
      <c r="K143" s="4">
        <f>IFERROR(H143/I143,"")</f>
        <v>3.2767436831316796E-3</v>
      </c>
    </row>
    <row r="144" spans="1:11">
      <c r="A144" t="s">
        <v>13</v>
      </c>
      <c r="B144" t="s">
        <v>51</v>
      </c>
      <c r="C144" t="s">
        <v>13</v>
      </c>
      <c r="D144" t="s">
        <v>14</v>
      </c>
      <c r="E144" t="s">
        <v>15</v>
      </c>
      <c r="F144" t="s">
        <v>16</v>
      </c>
      <c r="G144" s="6">
        <v>2025</v>
      </c>
      <c r="H144" s="2">
        <v>1723</v>
      </c>
      <c r="I144" s="2">
        <v>522992.80865102512</v>
      </c>
      <c r="J144" s="3">
        <f>IFERROR(I144/H144,"")</f>
        <v>303.53616288509875</v>
      </c>
      <c r="K144" s="4">
        <f>IFERROR(H144/I144,"")</f>
        <v>3.2945003669251176E-3</v>
      </c>
    </row>
    <row r="145" spans="1:11">
      <c r="A145" t="s">
        <v>17</v>
      </c>
      <c r="B145" t="s">
        <v>71</v>
      </c>
      <c r="C145" t="s">
        <v>36</v>
      </c>
      <c r="D145" t="s">
        <v>14</v>
      </c>
      <c r="E145" t="s">
        <v>62</v>
      </c>
      <c r="F145" t="s">
        <v>26</v>
      </c>
      <c r="G145" s="6" t="s">
        <v>81</v>
      </c>
      <c r="H145" s="2">
        <v>5820</v>
      </c>
      <c r="I145" s="2">
        <v>1763341.6183184478</v>
      </c>
      <c r="J145" s="3">
        <f>IFERROR(I145/H145,"")</f>
        <v>302.97965950488793</v>
      </c>
      <c r="K145" s="4">
        <f>IFERROR(H145/I145,"")</f>
        <v>3.3005516001771962E-3</v>
      </c>
    </row>
    <row r="146" spans="1:11">
      <c r="A146" t="s">
        <v>19</v>
      </c>
      <c r="B146" t="s">
        <v>12</v>
      </c>
      <c r="C146" t="s">
        <v>13</v>
      </c>
      <c r="D146" t="s">
        <v>14</v>
      </c>
      <c r="E146" t="s">
        <v>15</v>
      </c>
      <c r="F146" t="s">
        <v>16</v>
      </c>
      <c r="G146" s="6" t="s">
        <v>81</v>
      </c>
      <c r="H146" s="2">
        <v>950</v>
      </c>
      <c r="I146" s="2">
        <v>287344.66170605167</v>
      </c>
      <c r="J146" s="3">
        <f>IFERROR(I146/H146,"")</f>
        <v>302.46806495373858</v>
      </c>
      <c r="K146" s="4">
        <f>IFERROR(H146/I146,"")</f>
        <v>3.3061341538748773E-3</v>
      </c>
    </row>
    <row r="147" spans="1:11">
      <c r="A147" t="s">
        <v>11</v>
      </c>
      <c r="B147" t="s">
        <v>48</v>
      </c>
      <c r="C147" t="s">
        <v>43</v>
      </c>
      <c r="D147" t="s">
        <v>14</v>
      </c>
      <c r="E147" t="s">
        <v>15</v>
      </c>
      <c r="F147" t="s">
        <v>16</v>
      </c>
      <c r="G147" s="6">
        <v>2024</v>
      </c>
      <c r="H147" s="2">
        <v>10628</v>
      </c>
      <c r="I147" s="2">
        <v>3158109.2544161649</v>
      </c>
      <c r="J147" s="3">
        <f>IFERROR(I147/H147,"")</f>
        <v>297.14991102899558</v>
      </c>
      <c r="K147" s="4">
        <f>IFERROR(H147/I147,"")</f>
        <v>3.3653047262814798E-3</v>
      </c>
    </row>
    <row r="148" spans="1:11">
      <c r="A148" t="s">
        <v>11</v>
      </c>
      <c r="B148" t="s">
        <v>69</v>
      </c>
      <c r="C148" t="s">
        <v>40</v>
      </c>
      <c r="D148" t="s">
        <v>21</v>
      </c>
      <c r="E148" t="s">
        <v>15</v>
      </c>
      <c r="F148" t="s">
        <v>16</v>
      </c>
      <c r="G148" s="6">
        <v>2025</v>
      </c>
      <c r="H148" s="2">
        <v>500</v>
      </c>
      <c r="I148" s="2">
        <v>148363.09187809136</v>
      </c>
      <c r="J148" s="3">
        <f>IFERROR(I148/H148,"")</f>
        <v>296.72618375618271</v>
      </c>
      <c r="K148" s="4">
        <f>IFERROR(H148/I148,"")</f>
        <v>3.370110407316434E-3</v>
      </c>
    </row>
    <row r="149" spans="1:11">
      <c r="A149" t="s">
        <v>18</v>
      </c>
      <c r="B149" t="s">
        <v>48</v>
      </c>
      <c r="C149" t="s">
        <v>43</v>
      </c>
      <c r="D149" t="s">
        <v>14</v>
      </c>
      <c r="E149" t="s">
        <v>15</v>
      </c>
      <c r="F149" t="s">
        <v>16</v>
      </c>
      <c r="G149" s="6">
        <v>2025</v>
      </c>
      <c r="H149" s="2">
        <v>3063</v>
      </c>
      <c r="I149" s="2">
        <v>895445.40488426073</v>
      </c>
      <c r="J149" s="3">
        <f>IFERROR(I149/H149,"")</f>
        <v>292.34260688353271</v>
      </c>
      <c r="K149" s="4">
        <f>IFERROR(H149/I149,"")</f>
        <v>3.4206440541128275E-3</v>
      </c>
    </row>
    <row r="150" spans="1:11">
      <c r="A150" t="s">
        <v>13</v>
      </c>
      <c r="B150" t="s">
        <v>63</v>
      </c>
      <c r="C150" t="s">
        <v>17</v>
      </c>
      <c r="D150" t="s">
        <v>33</v>
      </c>
      <c r="E150" t="s">
        <v>15</v>
      </c>
      <c r="F150" t="s">
        <v>16</v>
      </c>
      <c r="G150" s="6" t="s">
        <v>81</v>
      </c>
      <c r="H150" s="2">
        <v>2306</v>
      </c>
      <c r="I150" s="2">
        <v>673112.01274660497</v>
      </c>
      <c r="J150" s="3">
        <f>IFERROR(I150/H150,"")</f>
        <v>291.89592920494579</v>
      </c>
      <c r="K150" s="4">
        <f>IFERROR(H150/I150,"")</f>
        <v>3.4258785407653993E-3</v>
      </c>
    </row>
    <row r="151" spans="1:11">
      <c r="A151" t="s">
        <v>19</v>
      </c>
      <c r="B151" t="s">
        <v>37</v>
      </c>
      <c r="C151" t="s">
        <v>38</v>
      </c>
      <c r="D151" t="s">
        <v>14</v>
      </c>
      <c r="E151" t="s">
        <v>15</v>
      </c>
      <c r="F151" t="s">
        <v>16</v>
      </c>
      <c r="G151" s="6">
        <v>2024</v>
      </c>
      <c r="H151" s="2">
        <v>1210</v>
      </c>
      <c r="I151" s="2">
        <v>350299.26053705229</v>
      </c>
      <c r="J151" s="3">
        <f>IFERROR(I151/H151,"")</f>
        <v>289.50352110500188</v>
      </c>
      <c r="K151" s="4">
        <f>IFERROR(H151/I151,"")</f>
        <v>3.4541894211963784E-3</v>
      </c>
    </row>
    <row r="152" spans="1:11">
      <c r="A152" t="s">
        <v>18</v>
      </c>
      <c r="B152" t="s">
        <v>28</v>
      </c>
      <c r="C152" t="s">
        <v>18</v>
      </c>
      <c r="D152" t="s">
        <v>21</v>
      </c>
      <c r="E152" t="s">
        <v>15</v>
      </c>
      <c r="F152" t="s">
        <v>16</v>
      </c>
      <c r="G152" s="6" t="s">
        <v>81</v>
      </c>
      <c r="H152" s="2">
        <v>7870</v>
      </c>
      <c r="I152" s="2">
        <v>2260487.2787112589</v>
      </c>
      <c r="J152" s="3">
        <f>IFERROR(I152/H152,"")</f>
        <v>287.22837086547128</v>
      </c>
      <c r="K152" s="4">
        <f>IFERROR(H152/I152,"")</f>
        <v>3.4815502277397541E-3</v>
      </c>
    </row>
    <row r="153" spans="1:11">
      <c r="A153" t="s">
        <v>11</v>
      </c>
      <c r="B153" t="s">
        <v>24</v>
      </c>
      <c r="C153" t="s">
        <v>25</v>
      </c>
      <c r="D153" t="s">
        <v>14</v>
      </c>
      <c r="E153" t="s">
        <v>15</v>
      </c>
      <c r="F153" t="s">
        <v>26</v>
      </c>
      <c r="G153" s="6">
        <v>2025</v>
      </c>
      <c r="H153" s="2">
        <v>7473</v>
      </c>
      <c r="I153" s="2">
        <v>2130161.254499305</v>
      </c>
      <c r="J153" s="3">
        <f>IFERROR(I153/H153,"")</f>
        <v>285.04767221989897</v>
      </c>
      <c r="K153" s="4">
        <f>IFERROR(H153/I153,"")</f>
        <v>3.5081851123785136E-3</v>
      </c>
    </row>
    <row r="154" spans="1:11">
      <c r="A154" t="s">
        <v>18</v>
      </c>
      <c r="B154" t="s">
        <v>28</v>
      </c>
      <c r="C154" t="s">
        <v>18</v>
      </c>
      <c r="D154" t="s">
        <v>21</v>
      </c>
      <c r="E154" t="s">
        <v>15</v>
      </c>
      <c r="F154" t="s">
        <v>16</v>
      </c>
      <c r="G154" s="6">
        <v>2024</v>
      </c>
      <c r="H154" s="2">
        <v>22431</v>
      </c>
      <c r="I154" s="2">
        <v>6332796.2401518309</v>
      </c>
      <c r="J154" s="3">
        <f>IFERROR(I154/H154,"")</f>
        <v>282.32340244090011</v>
      </c>
      <c r="K154" s="4">
        <f>IFERROR(H154/I154,"")</f>
        <v>3.5420372216905891E-3</v>
      </c>
    </row>
    <row r="155" spans="1:11">
      <c r="A155" t="s">
        <v>11</v>
      </c>
      <c r="B155" t="s">
        <v>68</v>
      </c>
      <c r="C155" t="s">
        <v>17</v>
      </c>
      <c r="D155" t="s">
        <v>21</v>
      </c>
      <c r="E155" t="s">
        <v>15</v>
      </c>
      <c r="F155" t="s">
        <v>16</v>
      </c>
      <c r="G155" s="6" t="s">
        <v>82</v>
      </c>
      <c r="H155" s="2">
        <v>260</v>
      </c>
      <c r="I155" s="2">
        <v>72977.382108229896</v>
      </c>
      <c r="J155" s="3">
        <f>IFERROR(I155/H155,"")</f>
        <v>280.68223887780732</v>
      </c>
      <c r="K155" s="4">
        <f>IFERROR(H155/I155,"")</f>
        <v>3.5627476964630519E-3</v>
      </c>
    </row>
    <row r="156" spans="1:11">
      <c r="A156" t="s">
        <v>19</v>
      </c>
      <c r="B156" t="s">
        <v>50</v>
      </c>
      <c r="C156" t="s">
        <v>43</v>
      </c>
      <c r="D156" t="s">
        <v>14</v>
      </c>
      <c r="E156" t="s">
        <v>15</v>
      </c>
      <c r="F156" t="s">
        <v>16</v>
      </c>
      <c r="G156" s="6">
        <v>2025</v>
      </c>
      <c r="H156" s="2">
        <v>1320</v>
      </c>
      <c r="I156" s="2">
        <v>366622.8793195812</v>
      </c>
      <c r="J156" s="3">
        <f>IFERROR(I156/H156,"")</f>
        <v>277.74460554513729</v>
      </c>
      <c r="K156" s="4">
        <f>IFERROR(H156/I156,"")</f>
        <v>3.6004299634812761E-3</v>
      </c>
    </row>
    <row r="157" spans="1:11">
      <c r="A157" t="s">
        <v>18</v>
      </c>
      <c r="B157" t="s">
        <v>49</v>
      </c>
      <c r="C157" t="s">
        <v>40</v>
      </c>
      <c r="D157" t="s">
        <v>14</v>
      </c>
      <c r="E157" t="s">
        <v>15</v>
      </c>
      <c r="F157" t="s">
        <v>16</v>
      </c>
      <c r="G157" s="6">
        <v>2024</v>
      </c>
      <c r="H157" s="2">
        <v>9159</v>
      </c>
      <c r="I157" s="2">
        <v>2528041.2435255698</v>
      </c>
      <c r="J157" s="3">
        <f>IFERROR(I157/H157,"")</f>
        <v>276.01716819800959</v>
      </c>
      <c r="K157" s="4">
        <f>IFERROR(H157/I157,"")</f>
        <v>3.6229630443951901E-3</v>
      </c>
    </row>
    <row r="158" spans="1:11">
      <c r="A158" t="s">
        <v>18</v>
      </c>
      <c r="B158" t="s">
        <v>31</v>
      </c>
      <c r="C158" t="s">
        <v>11</v>
      </c>
      <c r="D158" t="s">
        <v>21</v>
      </c>
      <c r="E158" t="s">
        <v>15</v>
      </c>
      <c r="F158" t="s">
        <v>16</v>
      </c>
      <c r="G158" s="6" t="s">
        <v>81</v>
      </c>
      <c r="H158" s="2">
        <v>728</v>
      </c>
      <c r="I158" s="2">
        <v>199779.54791323619</v>
      </c>
      <c r="J158" s="3">
        <f>IFERROR(I158/H158,"")</f>
        <v>274.42245592477497</v>
      </c>
      <c r="K158" s="4">
        <f>IFERROR(H158/I158,"")</f>
        <v>3.6440166553794021E-3</v>
      </c>
    </row>
    <row r="159" spans="1:11">
      <c r="A159" t="s">
        <v>17</v>
      </c>
      <c r="B159" t="s">
        <v>42</v>
      </c>
      <c r="C159" t="s">
        <v>43</v>
      </c>
      <c r="D159" t="s">
        <v>14</v>
      </c>
      <c r="E159" t="s">
        <v>15</v>
      </c>
      <c r="F159" t="s">
        <v>16</v>
      </c>
      <c r="G159" s="6">
        <v>2024</v>
      </c>
      <c r="H159" s="2">
        <v>2101</v>
      </c>
      <c r="I159" s="2">
        <v>575755.49862048833</v>
      </c>
      <c r="J159" s="3">
        <f>IFERROR(I159/H159,"")</f>
        <v>274.03879039528238</v>
      </c>
      <c r="K159" s="4">
        <f>IFERROR(H159/I159,"")</f>
        <v>3.6491184279333873E-3</v>
      </c>
    </row>
    <row r="160" spans="1:11">
      <c r="A160" t="s">
        <v>13</v>
      </c>
      <c r="B160" t="s">
        <v>63</v>
      </c>
      <c r="C160" t="s">
        <v>17</v>
      </c>
      <c r="D160" t="s">
        <v>33</v>
      </c>
      <c r="E160" t="s">
        <v>15</v>
      </c>
      <c r="F160" t="s">
        <v>16</v>
      </c>
      <c r="G160" s="6">
        <v>2024</v>
      </c>
      <c r="H160" s="2">
        <v>8211</v>
      </c>
      <c r="I160" s="2">
        <v>2241381.4826267841</v>
      </c>
      <c r="J160" s="3">
        <f>IFERROR(I160/H160,"")</f>
        <v>272.97302187635904</v>
      </c>
      <c r="K160" s="4">
        <f>IFERROR(H160/I160,"")</f>
        <v>3.6633656803379713E-3</v>
      </c>
    </row>
    <row r="161" spans="1:11">
      <c r="A161" t="s">
        <v>17</v>
      </c>
      <c r="B161" t="s">
        <v>49</v>
      </c>
      <c r="C161" t="s">
        <v>40</v>
      </c>
      <c r="D161" t="s">
        <v>14</v>
      </c>
      <c r="E161" t="s">
        <v>15</v>
      </c>
      <c r="F161" t="s">
        <v>16</v>
      </c>
      <c r="G161" s="6" t="s">
        <v>81</v>
      </c>
      <c r="H161" s="2">
        <v>1544</v>
      </c>
      <c r="I161" s="2">
        <v>420871.18499191373</v>
      </c>
      <c r="J161" s="3">
        <f>IFERROR(I161/H161,"")</f>
        <v>272.58496437300113</v>
      </c>
      <c r="K161" s="4">
        <f>IFERROR(H161/I161,"")</f>
        <v>3.6685809222830618E-3</v>
      </c>
    </row>
    <row r="162" spans="1:11">
      <c r="A162" t="s">
        <v>18</v>
      </c>
      <c r="B162" t="s">
        <v>12</v>
      </c>
      <c r="C162" t="s">
        <v>13</v>
      </c>
      <c r="D162" t="s">
        <v>14</v>
      </c>
      <c r="E162" t="s">
        <v>15</v>
      </c>
      <c r="F162" t="s">
        <v>16</v>
      </c>
      <c r="G162" s="6" t="s">
        <v>82</v>
      </c>
      <c r="H162" s="2">
        <v>933</v>
      </c>
      <c r="I162" s="2">
        <v>253897.75259621278</v>
      </c>
      <c r="J162" s="3">
        <f>IFERROR(I162/H162,"")</f>
        <v>272.13049581587649</v>
      </c>
      <c r="K162" s="4">
        <f>IFERROR(H162/I162,"")</f>
        <v>3.6747075957139328E-3</v>
      </c>
    </row>
    <row r="163" spans="1:11">
      <c r="A163" t="s">
        <v>13</v>
      </c>
      <c r="B163" t="s">
        <v>48</v>
      </c>
      <c r="C163" t="s">
        <v>43</v>
      </c>
      <c r="D163" t="s">
        <v>14</v>
      </c>
      <c r="E163" t="s">
        <v>15</v>
      </c>
      <c r="F163" t="s">
        <v>16</v>
      </c>
      <c r="G163" s="6">
        <v>2025</v>
      </c>
      <c r="H163" s="2">
        <v>6994</v>
      </c>
      <c r="I163" s="2">
        <v>1875647.5338450358</v>
      </c>
      <c r="J163" s="3">
        <f>IFERROR(I163/H163,"")</f>
        <v>268.17951584858963</v>
      </c>
      <c r="K163" s="4">
        <f>IFERROR(H163/I163,"")</f>
        <v>3.7288455713544726E-3</v>
      </c>
    </row>
    <row r="164" spans="1:11">
      <c r="A164" t="s">
        <v>17</v>
      </c>
      <c r="B164" t="s">
        <v>48</v>
      </c>
      <c r="C164" t="s">
        <v>43</v>
      </c>
      <c r="D164" t="s">
        <v>14</v>
      </c>
      <c r="E164" t="s">
        <v>15</v>
      </c>
      <c r="F164" t="s">
        <v>16</v>
      </c>
      <c r="G164" s="6">
        <v>2024</v>
      </c>
      <c r="H164" s="2">
        <v>12169</v>
      </c>
      <c r="I164" s="2">
        <v>3254630.8975803722</v>
      </c>
      <c r="J164" s="3">
        <f>IFERROR(I164/H164,"")</f>
        <v>267.45261710743466</v>
      </c>
      <c r="K164" s="4">
        <f>IFERROR(H164/I164,"")</f>
        <v>3.7389800511778279E-3</v>
      </c>
    </row>
    <row r="165" spans="1:11">
      <c r="A165" t="s">
        <v>13</v>
      </c>
      <c r="B165" t="s">
        <v>49</v>
      </c>
      <c r="C165" t="s">
        <v>40</v>
      </c>
      <c r="D165" t="s">
        <v>14</v>
      </c>
      <c r="E165" t="s">
        <v>15</v>
      </c>
      <c r="F165" t="s">
        <v>16</v>
      </c>
      <c r="G165" s="6" t="s">
        <v>82</v>
      </c>
      <c r="H165" s="2">
        <v>2220</v>
      </c>
      <c r="I165" s="2">
        <v>591016.46311435499</v>
      </c>
      <c r="J165" s="3">
        <f>IFERROR(I165/H165,"")</f>
        <v>266.22363203349323</v>
      </c>
      <c r="K165" s="4">
        <f>IFERROR(H165/I165,"")</f>
        <v>3.7562405424406177E-3</v>
      </c>
    </row>
    <row r="166" spans="1:11">
      <c r="A166" t="s">
        <v>17</v>
      </c>
      <c r="B166" t="s">
        <v>49</v>
      </c>
      <c r="C166" t="s">
        <v>40</v>
      </c>
      <c r="D166" t="s">
        <v>14</v>
      </c>
      <c r="E166" t="s">
        <v>15</v>
      </c>
      <c r="F166" t="s">
        <v>16</v>
      </c>
      <c r="G166" s="6">
        <v>2025</v>
      </c>
      <c r="H166" s="2">
        <v>4661</v>
      </c>
      <c r="I166" s="2">
        <v>1223623.9550793769</v>
      </c>
      <c r="J166" s="3">
        <f>IFERROR(I166/H166,"")</f>
        <v>262.52391226762001</v>
      </c>
      <c r="K166" s="4">
        <f>IFERROR(H166/I166,"")</f>
        <v>3.8091768150269982E-3</v>
      </c>
    </row>
    <row r="167" spans="1:11">
      <c r="A167" t="s">
        <v>13</v>
      </c>
      <c r="B167" t="s">
        <v>49</v>
      </c>
      <c r="C167" t="s">
        <v>40</v>
      </c>
      <c r="D167" t="s">
        <v>14</v>
      </c>
      <c r="E167" t="s">
        <v>15</v>
      </c>
      <c r="F167" t="s">
        <v>16</v>
      </c>
      <c r="G167" s="6">
        <v>2024</v>
      </c>
      <c r="H167" s="2">
        <v>6092</v>
      </c>
      <c r="I167" s="2">
        <v>1593859.6701425125</v>
      </c>
      <c r="J167" s="3">
        <f>IFERROR(I167/H167,"")</f>
        <v>261.63159391702436</v>
      </c>
      <c r="K167" s="4">
        <f>IFERROR(H167/I167,"")</f>
        <v>3.8221683590596738E-3</v>
      </c>
    </row>
    <row r="168" spans="1:11">
      <c r="A168" t="s">
        <v>11</v>
      </c>
      <c r="B168" t="s">
        <v>49</v>
      </c>
      <c r="C168" t="s">
        <v>40</v>
      </c>
      <c r="D168" t="s">
        <v>14</v>
      </c>
      <c r="E168" t="s">
        <v>15</v>
      </c>
      <c r="F168" t="s">
        <v>16</v>
      </c>
      <c r="G168" s="6" t="s">
        <v>82</v>
      </c>
      <c r="H168" s="2">
        <v>1598</v>
      </c>
      <c r="I168" s="2">
        <v>417773.98930856033</v>
      </c>
      <c r="J168" s="3">
        <f>IFERROR(I168/H168,"")</f>
        <v>261.43553774002521</v>
      </c>
      <c r="K168" s="4">
        <f>IFERROR(H168/I168,"")</f>
        <v>3.8250346859668807E-3</v>
      </c>
    </row>
    <row r="169" spans="1:11">
      <c r="A169" t="s">
        <v>18</v>
      </c>
      <c r="B169" t="s">
        <v>31</v>
      </c>
      <c r="C169" t="s">
        <v>11</v>
      </c>
      <c r="D169" t="s">
        <v>21</v>
      </c>
      <c r="E169" t="s">
        <v>15</v>
      </c>
      <c r="F169" t="s">
        <v>16</v>
      </c>
      <c r="G169" s="6" t="s">
        <v>82</v>
      </c>
      <c r="H169" s="2">
        <v>711</v>
      </c>
      <c r="I169" s="2">
        <v>185044.75862473331</v>
      </c>
      <c r="J169" s="3">
        <f>IFERROR(I169/H169,"")</f>
        <v>260.25985741875292</v>
      </c>
      <c r="K169" s="4">
        <f>IFERROR(H169/I169,"")</f>
        <v>3.8423136395983651E-3</v>
      </c>
    </row>
    <row r="170" spans="1:11">
      <c r="A170" t="s">
        <v>18</v>
      </c>
      <c r="B170" t="s">
        <v>28</v>
      </c>
      <c r="C170" t="s">
        <v>18</v>
      </c>
      <c r="D170" t="s">
        <v>21</v>
      </c>
      <c r="E170" t="s">
        <v>15</v>
      </c>
      <c r="F170" t="s">
        <v>16</v>
      </c>
      <c r="G170" s="6">
        <v>2025</v>
      </c>
      <c r="H170" s="2">
        <v>26589</v>
      </c>
      <c r="I170" s="2">
        <v>6856588.7733351225</v>
      </c>
      <c r="J170" s="3">
        <f>IFERROR(I170/H170,"")</f>
        <v>257.87313450431088</v>
      </c>
      <c r="K170" s="4">
        <f>IFERROR(H170/I170,"")</f>
        <v>3.8778758474480902E-3</v>
      </c>
    </row>
    <row r="171" spans="1:11">
      <c r="A171" t="s">
        <v>18</v>
      </c>
      <c r="B171" t="s">
        <v>48</v>
      </c>
      <c r="C171" t="s">
        <v>43</v>
      </c>
      <c r="D171" t="s">
        <v>14</v>
      </c>
      <c r="E171" t="s">
        <v>15</v>
      </c>
      <c r="F171" t="s">
        <v>16</v>
      </c>
      <c r="G171" s="6" t="s">
        <v>81</v>
      </c>
      <c r="H171" s="2">
        <v>1216</v>
      </c>
      <c r="I171" s="2">
        <v>313153.11972504918</v>
      </c>
      <c r="J171" s="3">
        <f>IFERROR(I171/H171,"")</f>
        <v>257.52723661599441</v>
      </c>
      <c r="K171" s="4">
        <f>IFERROR(H171/I171,"")</f>
        <v>3.8830844191099141E-3</v>
      </c>
    </row>
    <row r="172" spans="1:11">
      <c r="A172" t="s">
        <v>17</v>
      </c>
      <c r="B172" t="s">
        <v>49</v>
      </c>
      <c r="C172" t="s">
        <v>40</v>
      </c>
      <c r="D172" t="s">
        <v>14</v>
      </c>
      <c r="E172" t="s">
        <v>15</v>
      </c>
      <c r="F172" t="s">
        <v>16</v>
      </c>
      <c r="G172" s="6">
        <v>2024</v>
      </c>
      <c r="H172" s="2">
        <v>5712</v>
      </c>
      <c r="I172" s="2">
        <v>1465879.2801753753</v>
      </c>
      <c r="J172" s="3">
        <f>IFERROR(I172/H172,"")</f>
        <v>256.63152664134719</v>
      </c>
      <c r="K172" s="4">
        <f>IFERROR(H172/I172,"")</f>
        <v>3.8966373815698015E-3</v>
      </c>
    </row>
    <row r="173" spans="1:11">
      <c r="A173" t="s">
        <v>19</v>
      </c>
      <c r="B173" t="s">
        <v>37</v>
      </c>
      <c r="C173" t="s">
        <v>38</v>
      </c>
      <c r="D173" t="s">
        <v>14</v>
      </c>
      <c r="E173" t="s">
        <v>15</v>
      </c>
      <c r="F173" t="s">
        <v>16</v>
      </c>
      <c r="G173" s="6" t="s">
        <v>81</v>
      </c>
      <c r="H173" s="2">
        <v>460</v>
      </c>
      <c r="I173" s="2">
        <v>117849.1512965429</v>
      </c>
      <c r="J173" s="3">
        <f>IFERROR(I173/H173,"")</f>
        <v>256.19380716639762</v>
      </c>
      <c r="K173" s="4">
        <f>IFERROR(H173/I173,"")</f>
        <v>3.9032949744585398E-3</v>
      </c>
    </row>
    <row r="174" spans="1:11">
      <c r="A174" t="s">
        <v>13</v>
      </c>
      <c r="B174" t="s">
        <v>78</v>
      </c>
      <c r="C174" t="s">
        <v>25</v>
      </c>
      <c r="D174" t="s">
        <v>21</v>
      </c>
      <c r="E174" t="s">
        <v>15</v>
      </c>
      <c r="F174" t="s">
        <v>26</v>
      </c>
      <c r="G174" s="6">
        <v>2025</v>
      </c>
      <c r="H174" s="2">
        <v>7307</v>
      </c>
      <c r="I174" s="2">
        <v>1870000</v>
      </c>
      <c r="J174" s="3">
        <f>IFERROR(I174/H174,"")</f>
        <v>255.91898179827564</v>
      </c>
      <c r="K174" s="4">
        <f>IFERROR(H174/I174,"")</f>
        <v>3.9074866310160432E-3</v>
      </c>
    </row>
    <row r="175" spans="1:11">
      <c r="A175" t="s">
        <v>11</v>
      </c>
      <c r="B175" t="s">
        <v>20</v>
      </c>
      <c r="C175" t="s">
        <v>11</v>
      </c>
      <c r="D175" t="s">
        <v>21</v>
      </c>
      <c r="E175" t="s">
        <v>15</v>
      </c>
      <c r="F175" t="s">
        <v>16</v>
      </c>
      <c r="G175" s="6" t="s">
        <v>82</v>
      </c>
      <c r="H175" s="2">
        <v>1769</v>
      </c>
      <c r="I175" s="2">
        <v>452304.98677316419</v>
      </c>
      <c r="J175" s="3">
        <f>IFERROR(I175/H175,"")</f>
        <v>255.68399478415159</v>
      </c>
      <c r="K175" s="4">
        <f>IFERROR(H175/I175,"")</f>
        <v>3.9110778163654707E-3</v>
      </c>
    </row>
    <row r="176" spans="1:11">
      <c r="A176" t="s">
        <v>18</v>
      </c>
      <c r="B176" t="s">
        <v>49</v>
      </c>
      <c r="C176" t="s">
        <v>40</v>
      </c>
      <c r="D176" t="s">
        <v>14</v>
      </c>
      <c r="E176" t="s">
        <v>15</v>
      </c>
      <c r="F176" t="s">
        <v>16</v>
      </c>
      <c r="G176" s="6">
        <v>2025</v>
      </c>
      <c r="H176" s="2">
        <v>9449</v>
      </c>
      <c r="I176" s="2">
        <v>2413037.763062425</v>
      </c>
      <c r="J176" s="3">
        <f>IFERROR(I176/H176,"")</f>
        <v>255.37493523784792</v>
      </c>
      <c r="K176" s="4">
        <f>IFERROR(H176/I176,"")</f>
        <v>3.9158110762461179E-3</v>
      </c>
    </row>
    <row r="177" spans="1:11">
      <c r="A177" t="s">
        <v>18</v>
      </c>
      <c r="B177" t="s">
        <v>49</v>
      </c>
      <c r="C177" t="s">
        <v>40</v>
      </c>
      <c r="D177" t="s">
        <v>14</v>
      </c>
      <c r="E177" t="s">
        <v>15</v>
      </c>
      <c r="F177" t="s">
        <v>16</v>
      </c>
      <c r="G177" s="6" t="s">
        <v>82</v>
      </c>
      <c r="H177" s="2">
        <v>3158</v>
      </c>
      <c r="I177" s="2">
        <v>799487.36872761301</v>
      </c>
      <c r="J177" s="3">
        <f>IFERROR(I177/H177,"")</f>
        <v>253.16256134503263</v>
      </c>
      <c r="K177" s="4">
        <f>IFERROR(H177/I177,"")</f>
        <v>3.9500311368595711E-3</v>
      </c>
    </row>
    <row r="178" spans="1:11">
      <c r="A178" t="s">
        <v>18</v>
      </c>
      <c r="B178" t="s">
        <v>68</v>
      </c>
      <c r="C178" t="s">
        <v>17</v>
      </c>
      <c r="D178" t="s">
        <v>21</v>
      </c>
      <c r="E178" t="s">
        <v>15</v>
      </c>
      <c r="F178" t="s">
        <v>16</v>
      </c>
      <c r="G178" s="6" t="s">
        <v>82</v>
      </c>
      <c r="H178" s="2">
        <v>143</v>
      </c>
      <c r="I178" s="2">
        <v>35690.233668844689</v>
      </c>
      <c r="J178" s="3">
        <f>IFERROR(I178/H178,"")</f>
        <v>249.58205362828454</v>
      </c>
      <c r="K178" s="4">
        <f>IFERROR(H178/I178,"")</f>
        <v>4.0066983401352719E-3</v>
      </c>
    </row>
    <row r="179" spans="1:11">
      <c r="A179" t="s">
        <v>18</v>
      </c>
      <c r="B179" t="s">
        <v>56</v>
      </c>
      <c r="C179" t="s">
        <v>40</v>
      </c>
      <c r="D179" t="s">
        <v>21</v>
      </c>
      <c r="E179" t="s">
        <v>15</v>
      </c>
      <c r="F179" t="s">
        <v>16</v>
      </c>
      <c r="G179" s="6">
        <v>2024</v>
      </c>
      <c r="H179" s="2">
        <v>31519</v>
      </c>
      <c r="I179" s="2">
        <v>7820702.5720936609</v>
      </c>
      <c r="J179" s="3">
        <f>IFERROR(I179/H179,"")</f>
        <v>248.12660846136174</v>
      </c>
      <c r="K179" s="4">
        <f>IFERROR(H179/I179,"")</f>
        <v>4.0302005746220481E-3</v>
      </c>
    </row>
    <row r="180" spans="1:11">
      <c r="A180" t="s">
        <v>18</v>
      </c>
      <c r="B180" t="s">
        <v>12</v>
      </c>
      <c r="C180" t="s">
        <v>13</v>
      </c>
      <c r="D180" t="s">
        <v>14</v>
      </c>
      <c r="E180" t="s">
        <v>15</v>
      </c>
      <c r="F180" t="s">
        <v>16</v>
      </c>
      <c r="G180" s="6">
        <v>2024</v>
      </c>
      <c r="H180" s="2">
        <v>2853</v>
      </c>
      <c r="I180" s="2">
        <v>702165.72467465489</v>
      </c>
      <c r="J180" s="3">
        <f>IFERROR(I180/H180,"")</f>
        <v>246.11487019791619</v>
      </c>
      <c r="K180" s="4">
        <f>IFERROR(H180/I180,"")</f>
        <v>4.0631433573917663E-3</v>
      </c>
    </row>
    <row r="181" spans="1:11">
      <c r="A181" t="s">
        <v>19</v>
      </c>
      <c r="B181" t="s">
        <v>50</v>
      </c>
      <c r="C181" t="s">
        <v>43</v>
      </c>
      <c r="D181" t="s">
        <v>14</v>
      </c>
      <c r="E181" t="s">
        <v>15</v>
      </c>
      <c r="F181" t="s">
        <v>16</v>
      </c>
      <c r="G181" s="6" t="s">
        <v>82</v>
      </c>
      <c r="H181" s="2">
        <v>299</v>
      </c>
      <c r="I181" s="2">
        <v>73504.068236106192</v>
      </c>
      <c r="J181" s="3">
        <f>IFERROR(I181/H181,"")</f>
        <v>245.83300413413443</v>
      </c>
      <c r="K181" s="4">
        <f>IFERROR(H181/I181,"")</f>
        <v>4.0678020574258112E-3</v>
      </c>
    </row>
    <row r="182" spans="1:11">
      <c r="A182" t="s">
        <v>19</v>
      </c>
      <c r="B182" t="s">
        <v>20</v>
      </c>
      <c r="C182" t="s">
        <v>11</v>
      </c>
      <c r="D182" t="s">
        <v>21</v>
      </c>
      <c r="E182" t="s">
        <v>15</v>
      </c>
      <c r="F182" t="s">
        <v>16</v>
      </c>
      <c r="G182" s="6">
        <v>2025</v>
      </c>
      <c r="H182" s="2">
        <v>1369</v>
      </c>
      <c r="I182" s="2">
        <v>332688.40438830131</v>
      </c>
      <c r="J182" s="3">
        <f>IFERROR(I182/H182,"")</f>
        <v>243.01563505354369</v>
      </c>
      <c r="K182" s="4">
        <f>IFERROR(H182/I182,"")</f>
        <v>4.1149615734792939E-3</v>
      </c>
    </row>
    <row r="183" spans="1:11">
      <c r="A183" t="s">
        <v>17</v>
      </c>
      <c r="B183" t="s">
        <v>71</v>
      </c>
      <c r="C183" t="s">
        <v>36</v>
      </c>
      <c r="D183" t="s">
        <v>14</v>
      </c>
      <c r="E183" t="s">
        <v>62</v>
      </c>
      <c r="F183" t="s">
        <v>26</v>
      </c>
      <c r="G183" s="6">
        <v>2025</v>
      </c>
      <c r="H183" s="2">
        <v>19390</v>
      </c>
      <c r="I183" s="2">
        <v>4711268.2698648917</v>
      </c>
      <c r="J183" s="3">
        <f>IFERROR(I183/H183,"")</f>
        <v>242.97412428390365</v>
      </c>
      <c r="K183" s="4">
        <f>IFERROR(H183/I183,"")</f>
        <v>4.1156645916400041E-3</v>
      </c>
    </row>
    <row r="184" spans="1:11">
      <c r="A184" t="s">
        <v>19</v>
      </c>
      <c r="B184" t="s">
        <v>80</v>
      </c>
      <c r="C184" t="s">
        <v>25</v>
      </c>
      <c r="D184" t="s">
        <v>14</v>
      </c>
      <c r="E184" t="s">
        <v>15</v>
      </c>
      <c r="F184" t="s">
        <v>26</v>
      </c>
      <c r="G184" s="6">
        <v>2025</v>
      </c>
      <c r="H184" s="2">
        <v>750</v>
      </c>
      <c r="I184" s="2">
        <v>181419.39831414621</v>
      </c>
      <c r="J184" s="3">
        <f>IFERROR(I184/H184,"")</f>
        <v>241.89253108552828</v>
      </c>
      <c r="K184" s="4">
        <f>IFERROR(H184/I184,"")</f>
        <v>4.1340672881149043E-3</v>
      </c>
    </row>
    <row r="185" spans="1:11">
      <c r="A185" t="s">
        <v>11</v>
      </c>
      <c r="B185" t="s">
        <v>20</v>
      </c>
      <c r="C185" t="s">
        <v>11</v>
      </c>
      <c r="D185" t="s">
        <v>21</v>
      </c>
      <c r="E185" t="s">
        <v>15</v>
      </c>
      <c r="F185" t="s">
        <v>16</v>
      </c>
      <c r="G185" s="6">
        <v>2024</v>
      </c>
      <c r="H185" s="2">
        <v>2840</v>
      </c>
      <c r="I185" s="2">
        <v>683724.45241754514</v>
      </c>
      <c r="J185" s="3">
        <f>IFERROR(I185/H185,"")</f>
        <v>240.74804662589617</v>
      </c>
      <c r="K185" s="4">
        <f>IFERROR(H185/I185,"")</f>
        <v>4.1537200987301157E-3</v>
      </c>
    </row>
    <row r="186" spans="1:11">
      <c r="A186" t="s">
        <v>19</v>
      </c>
      <c r="B186" t="s">
        <v>12</v>
      </c>
      <c r="C186" t="s">
        <v>13</v>
      </c>
      <c r="D186" t="s">
        <v>14</v>
      </c>
      <c r="E186" t="s">
        <v>15</v>
      </c>
      <c r="F186" t="s">
        <v>16</v>
      </c>
      <c r="G186" s="6">
        <v>2025</v>
      </c>
      <c r="H186" s="2">
        <v>2705</v>
      </c>
      <c r="I186" s="2">
        <v>648865.99226499908</v>
      </c>
      <c r="J186" s="3">
        <f>IFERROR(I186/H186,"")</f>
        <v>239.87652209426952</v>
      </c>
      <c r="K186" s="4">
        <f>IFERROR(H186/I186,"")</f>
        <v>4.1688114837975182E-3</v>
      </c>
    </row>
    <row r="187" spans="1:11">
      <c r="A187" t="s">
        <v>17</v>
      </c>
      <c r="B187" t="s">
        <v>60</v>
      </c>
      <c r="C187" t="s">
        <v>61</v>
      </c>
      <c r="D187" t="s">
        <v>14</v>
      </c>
      <c r="E187" t="s">
        <v>62</v>
      </c>
      <c r="F187" t="s">
        <v>16</v>
      </c>
      <c r="G187" s="6">
        <v>2025</v>
      </c>
      <c r="H187" s="2">
        <v>5007</v>
      </c>
      <c r="I187" s="2">
        <v>1193885.1049297347</v>
      </c>
      <c r="J187" s="3">
        <f>IFERROR(I187/H187,"")</f>
        <v>238.44320050523962</v>
      </c>
      <c r="K187" s="4">
        <f>IFERROR(H187/I187,"")</f>
        <v>4.1938709004118811E-3</v>
      </c>
    </row>
    <row r="188" spans="1:11">
      <c r="A188" t="s">
        <v>18</v>
      </c>
      <c r="B188" t="s">
        <v>49</v>
      </c>
      <c r="C188" t="s">
        <v>40</v>
      </c>
      <c r="D188" t="s">
        <v>14</v>
      </c>
      <c r="E188" t="s">
        <v>15</v>
      </c>
      <c r="F188" t="s">
        <v>16</v>
      </c>
      <c r="G188" s="6" t="s">
        <v>81</v>
      </c>
      <c r="H188" s="2">
        <v>3174</v>
      </c>
      <c r="I188" s="2">
        <v>735117.63550914195</v>
      </c>
      <c r="J188" s="3">
        <f>IFERROR(I188/H188,"")</f>
        <v>231.60606033684371</v>
      </c>
      <c r="K188" s="4">
        <f>IFERROR(H188/I188,"")</f>
        <v>4.3176763101346223E-3</v>
      </c>
    </row>
    <row r="189" spans="1:11">
      <c r="A189" t="s">
        <v>18</v>
      </c>
      <c r="B189" t="s">
        <v>71</v>
      </c>
      <c r="C189" t="s">
        <v>36</v>
      </c>
      <c r="D189" t="s">
        <v>14</v>
      </c>
      <c r="E189" t="s">
        <v>62</v>
      </c>
      <c r="F189" t="s">
        <v>26</v>
      </c>
      <c r="G189" s="6" t="s">
        <v>82</v>
      </c>
      <c r="H189" s="2">
        <v>4829</v>
      </c>
      <c r="I189" s="2">
        <v>1115512.0099748441</v>
      </c>
      <c r="J189" s="3">
        <f>IFERROR(I189/H189,"")</f>
        <v>231.00269413436405</v>
      </c>
      <c r="K189" s="4">
        <f>IFERROR(H189/I189,"")</f>
        <v>4.3289538407649229E-3</v>
      </c>
    </row>
    <row r="190" spans="1:11">
      <c r="A190" t="s">
        <v>13</v>
      </c>
      <c r="B190" t="s">
        <v>49</v>
      </c>
      <c r="C190" t="s">
        <v>40</v>
      </c>
      <c r="D190" t="s">
        <v>14</v>
      </c>
      <c r="E190" t="s">
        <v>15</v>
      </c>
      <c r="F190" t="s">
        <v>16</v>
      </c>
      <c r="G190" s="6">
        <v>2025</v>
      </c>
      <c r="H190" s="2">
        <v>6435</v>
      </c>
      <c r="I190" s="2">
        <v>1484385.3417380243</v>
      </c>
      <c r="J190" s="3">
        <f>IFERROR(I190/H190,"")</f>
        <v>230.67371277980175</v>
      </c>
      <c r="K190" s="4">
        <f>IFERROR(H190/I190,"")</f>
        <v>4.335127691617759E-3</v>
      </c>
    </row>
    <row r="191" spans="1:11">
      <c r="A191" t="s">
        <v>13</v>
      </c>
      <c r="B191" t="s">
        <v>57</v>
      </c>
      <c r="C191" t="s">
        <v>25</v>
      </c>
      <c r="D191" t="s">
        <v>21</v>
      </c>
      <c r="E191" t="s">
        <v>15</v>
      </c>
      <c r="F191" t="s">
        <v>26</v>
      </c>
      <c r="G191" s="6">
        <v>2025</v>
      </c>
      <c r="H191" s="2">
        <v>8143</v>
      </c>
      <c r="I191" s="2">
        <v>1870000</v>
      </c>
      <c r="J191" s="3">
        <f>IFERROR(I191/H191,"")</f>
        <v>229.64509394572025</v>
      </c>
      <c r="K191" s="4">
        <f>IFERROR(H191/I191,"")</f>
        <v>4.3545454545454547E-3</v>
      </c>
    </row>
    <row r="192" spans="1:11">
      <c r="A192" t="s">
        <v>18</v>
      </c>
      <c r="B192" t="s">
        <v>20</v>
      </c>
      <c r="C192" t="s">
        <v>11</v>
      </c>
      <c r="D192" t="s">
        <v>21</v>
      </c>
      <c r="E192" t="s">
        <v>15</v>
      </c>
      <c r="F192" t="s">
        <v>16</v>
      </c>
      <c r="G192" s="6" t="s">
        <v>82</v>
      </c>
      <c r="H192" s="2">
        <v>204</v>
      </c>
      <c r="I192" s="2">
        <v>46358.233791579711</v>
      </c>
      <c r="J192" s="3">
        <f>IFERROR(I192/H192,"")</f>
        <v>227.24624407637114</v>
      </c>
      <c r="K192" s="4">
        <f>IFERROR(H192/I192,"")</f>
        <v>4.4005127744330417E-3</v>
      </c>
    </row>
    <row r="193" spans="1:11">
      <c r="A193" t="s">
        <v>17</v>
      </c>
      <c r="B193" t="s">
        <v>60</v>
      </c>
      <c r="C193" t="s">
        <v>61</v>
      </c>
      <c r="D193" t="s">
        <v>14</v>
      </c>
      <c r="E193" t="s">
        <v>62</v>
      </c>
      <c r="F193" t="s">
        <v>16</v>
      </c>
      <c r="G193" s="6" t="s">
        <v>82</v>
      </c>
      <c r="H193" s="2">
        <v>1534</v>
      </c>
      <c r="I193" s="2">
        <v>345142.9795021945</v>
      </c>
      <c r="J193" s="3">
        <f>IFERROR(I193/H193,"")</f>
        <v>224.99542340429889</v>
      </c>
      <c r="K193" s="4">
        <f>IFERROR(H193/I193,"")</f>
        <v>4.4445348481736867E-3</v>
      </c>
    </row>
    <row r="194" spans="1:11">
      <c r="A194" t="s">
        <v>17</v>
      </c>
      <c r="B194" t="s">
        <v>63</v>
      </c>
      <c r="C194" t="s">
        <v>17</v>
      </c>
      <c r="D194" t="s">
        <v>33</v>
      </c>
      <c r="E194" t="s">
        <v>15</v>
      </c>
      <c r="F194" t="s">
        <v>16</v>
      </c>
      <c r="G194" s="6">
        <v>2025</v>
      </c>
      <c r="H194" s="2">
        <v>29692</v>
      </c>
      <c r="I194" s="2">
        <v>6491443.4418628896</v>
      </c>
      <c r="J194" s="3">
        <f>IFERROR(I194/H194,"")</f>
        <v>218.62600841515862</v>
      </c>
      <c r="K194" s="4">
        <f>IFERROR(H194/I194,"")</f>
        <v>4.574021212064832E-3</v>
      </c>
    </row>
    <row r="195" spans="1:11">
      <c r="A195" t="s">
        <v>18</v>
      </c>
      <c r="B195" t="s">
        <v>48</v>
      </c>
      <c r="C195" t="s">
        <v>43</v>
      </c>
      <c r="D195" t="s">
        <v>14</v>
      </c>
      <c r="E195" t="s">
        <v>15</v>
      </c>
      <c r="F195" t="s">
        <v>16</v>
      </c>
      <c r="G195" s="6" t="s">
        <v>82</v>
      </c>
      <c r="H195" s="2">
        <v>889</v>
      </c>
      <c r="I195" s="2">
        <v>193825.10867698121</v>
      </c>
      <c r="J195" s="3">
        <f>IFERROR(I195/H195,"")</f>
        <v>218.02599401235233</v>
      </c>
      <c r="K195" s="4">
        <f>IFERROR(H195/I195,"")</f>
        <v>4.586609062510889E-3</v>
      </c>
    </row>
    <row r="196" spans="1:11">
      <c r="A196" t="s">
        <v>13</v>
      </c>
      <c r="B196" t="s">
        <v>69</v>
      </c>
      <c r="C196" t="s">
        <v>40</v>
      </c>
      <c r="D196" t="s">
        <v>21</v>
      </c>
      <c r="E196" t="s">
        <v>15</v>
      </c>
      <c r="F196" t="s">
        <v>16</v>
      </c>
      <c r="G196" s="6">
        <v>2025</v>
      </c>
      <c r="H196" s="2">
        <v>2519</v>
      </c>
      <c r="I196" s="2">
        <v>544820.91575194674</v>
      </c>
      <c r="J196" s="3">
        <f>IFERROR(I196/H196,"")</f>
        <v>216.28460331558028</v>
      </c>
      <c r="K196" s="4">
        <f>IFERROR(H196/I196,"")</f>
        <v>4.623537619739407E-3</v>
      </c>
    </row>
    <row r="197" spans="1:11">
      <c r="A197" t="s">
        <v>18</v>
      </c>
      <c r="B197" t="s">
        <v>31</v>
      </c>
      <c r="C197" t="s">
        <v>11</v>
      </c>
      <c r="D197" t="s">
        <v>21</v>
      </c>
      <c r="E197" t="s">
        <v>15</v>
      </c>
      <c r="F197" t="s">
        <v>16</v>
      </c>
      <c r="G197" s="6">
        <v>2024</v>
      </c>
      <c r="H197" s="2">
        <v>3955</v>
      </c>
      <c r="I197" s="2">
        <v>845473.21207092772</v>
      </c>
      <c r="J197" s="3">
        <f>IFERROR(I197/H197,"")</f>
        <v>213.7732521039008</v>
      </c>
      <c r="K197" s="4">
        <f>IFERROR(H197/I197,"")</f>
        <v>4.6778537078809431E-3</v>
      </c>
    </row>
    <row r="198" spans="1:11">
      <c r="A198" t="s">
        <v>11</v>
      </c>
      <c r="B198" t="s">
        <v>56</v>
      </c>
      <c r="C198" t="s">
        <v>40</v>
      </c>
      <c r="D198" t="s">
        <v>21</v>
      </c>
      <c r="E198" t="s">
        <v>15</v>
      </c>
      <c r="F198" t="s">
        <v>16</v>
      </c>
      <c r="G198" s="6" t="s">
        <v>82</v>
      </c>
      <c r="H198" s="2">
        <v>8309</v>
      </c>
      <c r="I198" s="2">
        <v>1770313.6253592451</v>
      </c>
      <c r="J198" s="3">
        <f>IFERROR(I198/H198,"")</f>
        <v>213.05976957025456</v>
      </c>
      <c r="K198" s="4">
        <f>IFERROR(H198/I198,"")</f>
        <v>4.6935186404125856E-3</v>
      </c>
    </row>
    <row r="199" spans="1:11">
      <c r="A199" t="s">
        <v>13</v>
      </c>
      <c r="B199" t="s">
        <v>69</v>
      </c>
      <c r="C199" t="s">
        <v>40</v>
      </c>
      <c r="D199" t="s">
        <v>21</v>
      </c>
      <c r="E199" t="s">
        <v>15</v>
      </c>
      <c r="F199" t="s">
        <v>16</v>
      </c>
      <c r="G199" s="6" t="s">
        <v>82</v>
      </c>
      <c r="H199" s="2">
        <v>1032</v>
      </c>
      <c r="I199" s="2">
        <v>219781.66318611189</v>
      </c>
      <c r="J199" s="3">
        <f>IFERROR(I199/H199,"")</f>
        <v>212.96672789351928</v>
      </c>
      <c r="K199" s="4">
        <f>IFERROR(H199/I199,"")</f>
        <v>4.6955691618645124E-3</v>
      </c>
    </row>
    <row r="200" spans="1:11">
      <c r="A200" t="s">
        <v>13</v>
      </c>
      <c r="B200" t="s">
        <v>55</v>
      </c>
      <c r="C200" t="s">
        <v>43</v>
      </c>
      <c r="D200" t="s">
        <v>21</v>
      </c>
      <c r="E200" t="s">
        <v>15</v>
      </c>
      <c r="F200" t="s">
        <v>16</v>
      </c>
      <c r="G200" s="6">
        <v>2024</v>
      </c>
      <c r="H200" s="2">
        <v>12307</v>
      </c>
      <c r="I200" s="2">
        <v>2583757.9992930582</v>
      </c>
      <c r="J200" s="3">
        <f>IFERROR(I200/H200,"")</f>
        <v>209.94214668831219</v>
      </c>
      <c r="K200" s="4">
        <f>IFERROR(H200/I200,"")</f>
        <v>4.7632169898912035E-3</v>
      </c>
    </row>
    <row r="201" spans="1:11">
      <c r="A201" t="s">
        <v>19</v>
      </c>
      <c r="B201" t="s">
        <v>39</v>
      </c>
      <c r="C201" t="s">
        <v>40</v>
      </c>
      <c r="D201" t="s">
        <v>21</v>
      </c>
      <c r="E201" t="s">
        <v>15</v>
      </c>
      <c r="F201" t="s">
        <v>16</v>
      </c>
      <c r="G201" s="6">
        <v>2025</v>
      </c>
      <c r="H201" s="2">
        <v>22330</v>
      </c>
      <c r="I201" s="2">
        <v>4685288.0749610849</v>
      </c>
      <c r="J201" s="3">
        <f>IFERROR(I201/H201,"")</f>
        <v>209.82033474971271</v>
      </c>
      <c r="K201" s="4">
        <f>IFERROR(H201/I201,"")</f>
        <v>4.7659822923877462E-3</v>
      </c>
    </row>
    <row r="202" spans="1:11">
      <c r="A202" t="s">
        <v>13</v>
      </c>
      <c r="B202" t="s">
        <v>52</v>
      </c>
      <c r="C202" t="s">
        <v>40</v>
      </c>
      <c r="D202" t="s">
        <v>21</v>
      </c>
      <c r="E202" t="s">
        <v>15</v>
      </c>
      <c r="F202" t="s">
        <v>16</v>
      </c>
      <c r="G202" s="6">
        <v>2025</v>
      </c>
      <c r="H202" s="2">
        <v>10817</v>
      </c>
      <c r="I202" s="2">
        <v>2259534.6276531019</v>
      </c>
      <c r="J202" s="3">
        <f>IFERROR(I202/H202,"")</f>
        <v>208.88736504142571</v>
      </c>
      <c r="K202" s="4">
        <f>IFERROR(H202/I202,"")</f>
        <v>4.7872689657494794E-3</v>
      </c>
    </row>
    <row r="203" spans="1:11">
      <c r="A203" t="s">
        <v>13</v>
      </c>
      <c r="B203" t="s">
        <v>71</v>
      </c>
      <c r="C203" t="s">
        <v>36</v>
      </c>
      <c r="D203" t="s">
        <v>14</v>
      </c>
      <c r="E203" t="s">
        <v>62</v>
      </c>
      <c r="F203" t="s">
        <v>26</v>
      </c>
      <c r="G203" s="6" t="s">
        <v>81</v>
      </c>
      <c r="H203" s="2">
        <v>3916</v>
      </c>
      <c r="I203" s="2">
        <v>817401.60725444707</v>
      </c>
      <c r="J203" s="3">
        <f>IFERROR(I203/H203,"")</f>
        <v>208.73381186272908</v>
      </c>
      <c r="K203" s="4">
        <f>IFERROR(H203/I203,"")</f>
        <v>4.7907906777347421E-3</v>
      </c>
    </row>
    <row r="204" spans="1:11">
      <c r="A204" t="s">
        <v>11</v>
      </c>
      <c r="B204" t="s">
        <v>12</v>
      </c>
      <c r="C204" t="s">
        <v>13</v>
      </c>
      <c r="D204" t="s">
        <v>14</v>
      </c>
      <c r="E204" t="s">
        <v>15</v>
      </c>
      <c r="F204" t="s">
        <v>16</v>
      </c>
      <c r="G204" s="6">
        <v>2024</v>
      </c>
      <c r="H204" s="2">
        <v>4373</v>
      </c>
      <c r="I204" s="2">
        <v>906470.47436718701</v>
      </c>
      <c r="J204" s="3">
        <f>IFERROR(I204/H204,"")</f>
        <v>207.28801151776514</v>
      </c>
      <c r="K204" s="4">
        <f>IFERROR(H204/I204,"")</f>
        <v>4.8242056676504773E-3</v>
      </c>
    </row>
    <row r="205" spans="1:11">
      <c r="A205" t="s">
        <v>13</v>
      </c>
      <c r="B205" t="s">
        <v>31</v>
      </c>
      <c r="C205" t="s">
        <v>11</v>
      </c>
      <c r="D205" t="s">
        <v>21</v>
      </c>
      <c r="E205" t="s">
        <v>15</v>
      </c>
      <c r="F205" t="s">
        <v>16</v>
      </c>
      <c r="G205" s="6" t="s">
        <v>82</v>
      </c>
      <c r="H205" s="2">
        <v>1353</v>
      </c>
      <c r="I205" s="2">
        <v>279916.19062896172</v>
      </c>
      <c r="J205" s="3">
        <f>IFERROR(I205/H205,"")</f>
        <v>206.88558065703009</v>
      </c>
      <c r="K205" s="4">
        <f>IFERROR(H205/I205,"")</f>
        <v>4.8335896432423475E-3</v>
      </c>
    </row>
    <row r="206" spans="1:11">
      <c r="A206" t="s">
        <v>17</v>
      </c>
      <c r="B206" t="s">
        <v>12</v>
      </c>
      <c r="C206" t="s">
        <v>13</v>
      </c>
      <c r="D206" t="s">
        <v>14</v>
      </c>
      <c r="E206" t="s">
        <v>15</v>
      </c>
      <c r="F206" t="s">
        <v>16</v>
      </c>
      <c r="G206" s="6" t="s">
        <v>82</v>
      </c>
      <c r="H206" s="2">
        <v>1701</v>
      </c>
      <c r="I206" s="2">
        <v>348863.00361401844</v>
      </c>
      <c r="J206" s="3">
        <f>IFERROR(I206/H206,"")</f>
        <v>205.0928886619744</v>
      </c>
      <c r="K206" s="4">
        <f>IFERROR(H206/I206,"")</f>
        <v>4.8758394624211403E-3</v>
      </c>
    </row>
    <row r="207" spans="1:11">
      <c r="A207" t="s">
        <v>11</v>
      </c>
      <c r="B207" t="s">
        <v>49</v>
      </c>
      <c r="C207" t="s">
        <v>40</v>
      </c>
      <c r="D207" t="s">
        <v>14</v>
      </c>
      <c r="E207" t="s">
        <v>15</v>
      </c>
      <c r="F207" t="s">
        <v>16</v>
      </c>
      <c r="G207" s="6">
        <v>2025</v>
      </c>
      <c r="H207" s="2">
        <v>6150</v>
      </c>
      <c r="I207" s="2">
        <v>1258808.9588526031</v>
      </c>
      <c r="J207" s="3">
        <f>IFERROR(I207/H207,"")</f>
        <v>204.68438355326879</v>
      </c>
      <c r="K207" s="4">
        <f>IFERROR(H207/I207,"")</f>
        <v>4.8855705679165876E-3</v>
      </c>
    </row>
    <row r="208" spans="1:11">
      <c r="A208" t="s">
        <v>18</v>
      </c>
      <c r="B208" t="s">
        <v>28</v>
      </c>
      <c r="C208" t="s">
        <v>18</v>
      </c>
      <c r="D208" t="s">
        <v>21</v>
      </c>
      <c r="E208" t="s">
        <v>15</v>
      </c>
      <c r="F208" t="s">
        <v>16</v>
      </c>
      <c r="G208" s="6" t="s">
        <v>82</v>
      </c>
      <c r="H208" s="2">
        <v>10811</v>
      </c>
      <c r="I208" s="2">
        <v>2163634.2185524227</v>
      </c>
      <c r="J208" s="3">
        <f>IFERROR(I208/H208,"")</f>
        <v>200.13266289449845</v>
      </c>
      <c r="K208" s="4">
        <f>IFERROR(H208/I208,"")</f>
        <v>4.9966856261097073E-3</v>
      </c>
    </row>
    <row r="209" spans="1:11">
      <c r="A209" t="s">
        <v>13</v>
      </c>
      <c r="B209" t="s">
        <v>71</v>
      </c>
      <c r="C209" t="s">
        <v>36</v>
      </c>
      <c r="D209" t="s">
        <v>14</v>
      </c>
      <c r="E209" t="s">
        <v>62</v>
      </c>
      <c r="F209" t="s">
        <v>26</v>
      </c>
      <c r="G209" s="6" t="s">
        <v>82</v>
      </c>
      <c r="H209" s="2">
        <v>4841</v>
      </c>
      <c r="I209" s="2">
        <v>967236.62799272698</v>
      </c>
      <c r="J209" s="3">
        <f>IFERROR(I209/H209,"")</f>
        <v>199.80099731310204</v>
      </c>
      <c r="K209" s="4">
        <f>IFERROR(H209/I209,"")</f>
        <v>5.004980022361603E-3</v>
      </c>
    </row>
    <row r="210" spans="1:11">
      <c r="A210" t="s">
        <v>17</v>
      </c>
      <c r="B210" t="s">
        <v>79</v>
      </c>
      <c r="C210" t="s">
        <v>25</v>
      </c>
      <c r="D210" t="s">
        <v>21</v>
      </c>
      <c r="E210" t="s">
        <v>15</v>
      </c>
      <c r="F210" t="s">
        <v>26</v>
      </c>
      <c r="G210" s="6">
        <v>2025</v>
      </c>
      <c r="H210" s="2">
        <v>7280</v>
      </c>
      <c r="I210" s="2">
        <v>1453000</v>
      </c>
      <c r="J210" s="3">
        <f>IFERROR(I210/H210,"")</f>
        <v>199.58791208791209</v>
      </c>
      <c r="K210" s="4">
        <f>IFERROR(H210/I210,"")</f>
        <v>5.0103234686854781E-3</v>
      </c>
    </row>
    <row r="211" spans="1:11">
      <c r="A211" t="s">
        <v>11</v>
      </c>
      <c r="B211" t="s">
        <v>74</v>
      </c>
      <c r="C211" t="s">
        <v>61</v>
      </c>
      <c r="D211" t="s">
        <v>14</v>
      </c>
      <c r="E211" t="s">
        <v>15</v>
      </c>
      <c r="F211" t="s">
        <v>16</v>
      </c>
      <c r="G211" s="6" t="s">
        <v>82</v>
      </c>
      <c r="H211" s="2">
        <v>3408</v>
      </c>
      <c r="I211" s="2">
        <v>677197.85462564998</v>
      </c>
      <c r="J211" s="3">
        <f>IFERROR(I211/H211,"")</f>
        <v>198.70829067654049</v>
      </c>
      <c r="K211" s="4">
        <f>IFERROR(H211/I211,"")</f>
        <v>5.0325026529859833E-3</v>
      </c>
    </row>
    <row r="212" spans="1:11">
      <c r="A212" t="s">
        <v>17</v>
      </c>
      <c r="B212" t="s">
        <v>31</v>
      </c>
      <c r="C212" t="s">
        <v>11</v>
      </c>
      <c r="D212" t="s">
        <v>21</v>
      </c>
      <c r="E212" t="s">
        <v>15</v>
      </c>
      <c r="F212" t="s">
        <v>16</v>
      </c>
      <c r="G212" s="6">
        <v>2025</v>
      </c>
      <c r="H212" s="2">
        <v>2781</v>
      </c>
      <c r="I212" s="2">
        <v>550980.81945494656</v>
      </c>
      <c r="J212" s="3">
        <f>IFERROR(I212/H212,"")</f>
        <v>198.12327200825118</v>
      </c>
      <c r="K212" s="4">
        <f>IFERROR(H212/I212,"")</f>
        <v>5.0473626336958195E-3</v>
      </c>
    </row>
    <row r="213" spans="1:11">
      <c r="A213" t="s">
        <v>17</v>
      </c>
      <c r="B213" t="s">
        <v>63</v>
      </c>
      <c r="C213" t="s">
        <v>17</v>
      </c>
      <c r="D213" t="s">
        <v>33</v>
      </c>
      <c r="E213" t="s">
        <v>15</v>
      </c>
      <c r="F213" t="s">
        <v>16</v>
      </c>
      <c r="G213" s="6" t="s">
        <v>82</v>
      </c>
      <c r="H213" s="2">
        <v>10690</v>
      </c>
      <c r="I213" s="2">
        <v>2113006.734737115</v>
      </c>
      <c r="J213" s="3">
        <f>IFERROR(I213/H213,"")</f>
        <v>197.66199576586669</v>
      </c>
      <c r="K213" s="4">
        <f>IFERROR(H213/I213,"")</f>
        <v>5.0591414709002204E-3</v>
      </c>
    </row>
    <row r="214" spans="1:11">
      <c r="A214" t="s">
        <v>19</v>
      </c>
      <c r="B214" t="s">
        <v>50</v>
      </c>
      <c r="C214" t="s">
        <v>43</v>
      </c>
      <c r="D214" t="s">
        <v>14</v>
      </c>
      <c r="E214" t="s">
        <v>15</v>
      </c>
      <c r="F214" t="s">
        <v>16</v>
      </c>
      <c r="G214" s="6" t="s">
        <v>81</v>
      </c>
      <c r="H214" s="2">
        <v>688</v>
      </c>
      <c r="I214" s="2">
        <v>134558.96643965531</v>
      </c>
      <c r="J214" s="3">
        <f>IFERROR(I214/H214,"")</f>
        <v>195.57989308089435</v>
      </c>
      <c r="K214" s="4">
        <f>IFERROR(H214/I214,"")</f>
        <v>5.1130000341414808E-3</v>
      </c>
    </row>
    <row r="215" spans="1:11">
      <c r="A215" t="s">
        <v>13</v>
      </c>
      <c r="B215" t="s">
        <v>71</v>
      </c>
      <c r="C215" t="s">
        <v>36</v>
      </c>
      <c r="D215" t="s">
        <v>14</v>
      </c>
      <c r="E215" t="s">
        <v>62</v>
      </c>
      <c r="F215" t="s">
        <v>26</v>
      </c>
      <c r="G215" s="6">
        <v>2025</v>
      </c>
      <c r="H215" s="2">
        <v>12847</v>
      </c>
      <c r="I215" s="2">
        <v>2496754.8671175651</v>
      </c>
      <c r="J215" s="3">
        <f>IFERROR(I215/H215,"")</f>
        <v>194.34536211703627</v>
      </c>
      <c r="K215" s="4">
        <f>IFERROR(H215/I215,"")</f>
        <v>5.145479105376295E-3</v>
      </c>
    </row>
    <row r="216" spans="1:11">
      <c r="A216" t="s">
        <v>18</v>
      </c>
      <c r="B216" t="s">
        <v>71</v>
      </c>
      <c r="C216" t="s">
        <v>36</v>
      </c>
      <c r="D216" t="s">
        <v>14</v>
      </c>
      <c r="E216" t="s">
        <v>62</v>
      </c>
      <c r="F216" t="s">
        <v>26</v>
      </c>
      <c r="G216" s="6" t="s">
        <v>81</v>
      </c>
      <c r="H216" s="2">
        <v>3740</v>
      </c>
      <c r="I216" s="2">
        <v>724859.41216603399</v>
      </c>
      <c r="J216" s="3">
        <f>IFERROR(I216/H216,"")</f>
        <v>193.81267704974169</v>
      </c>
      <c r="K216" s="4">
        <f>IFERROR(H216/I216,"")</f>
        <v>5.1596212137524503E-3</v>
      </c>
    </row>
    <row r="217" spans="1:11">
      <c r="A217" t="s">
        <v>11</v>
      </c>
      <c r="B217" t="s">
        <v>52</v>
      </c>
      <c r="C217" t="s">
        <v>40</v>
      </c>
      <c r="D217" t="s">
        <v>21</v>
      </c>
      <c r="E217" t="s">
        <v>15</v>
      </c>
      <c r="F217" t="s">
        <v>16</v>
      </c>
      <c r="G217" s="6">
        <v>2025</v>
      </c>
      <c r="H217" s="2">
        <v>8354</v>
      </c>
      <c r="I217" s="2">
        <v>1612889.7468441669</v>
      </c>
      <c r="J217" s="3">
        <f>IFERROR(I217/H217,"")</f>
        <v>193.06796107782702</v>
      </c>
      <c r="K217" s="4">
        <f>IFERROR(H217/I217,"")</f>
        <v>5.1795232850513871E-3</v>
      </c>
    </row>
    <row r="218" spans="1:11">
      <c r="A218" t="s">
        <v>19</v>
      </c>
      <c r="B218" t="s">
        <v>60</v>
      </c>
      <c r="C218" t="s">
        <v>61</v>
      </c>
      <c r="D218" t="s">
        <v>14</v>
      </c>
      <c r="E218" t="s">
        <v>62</v>
      </c>
      <c r="F218" t="s">
        <v>16</v>
      </c>
      <c r="G218" s="6">
        <v>2024</v>
      </c>
      <c r="H218" s="2">
        <v>8693</v>
      </c>
      <c r="I218" s="2">
        <v>1660641.8512802708</v>
      </c>
      <c r="J218" s="3">
        <f>IFERROR(I218/H218,"")</f>
        <v>191.03207768092383</v>
      </c>
      <c r="K218" s="4">
        <f>IFERROR(H218/I218,"")</f>
        <v>5.2347229436004736E-3</v>
      </c>
    </row>
    <row r="219" spans="1:11">
      <c r="A219" t="s">
        <v>11</v>
      </c>
      <c r="B219" t="s">
        <v>69</v>
      </c>
      <c r="C219" t="s">
        <v>40</v>
      </c>
      <c r="D219" t="s">
        <v>21</v>
      </c>
      <c r="E219" t="s">
        <v>15</v>
      </c>
      <c r="F219" t="s">
        <v>16</v>
      </c>
      <c r="G219" s="6">
        <v>2024</v>
      </c>
      <c r="H219" s="2">
        <v>700</v>
      </c>
      <c r="I219" s="2">
        <v>133642.9887732199</v>
      </c>
      <c r="J219" s="3">
        <f>IFERROR(I219/H219,"")</f>
        <v>190.91855539031414</v>
      </c>
      <c r="K219" s="4">
        <f>IFERROR(H219/I219,"")</f>
        <v>5.2378355679237078E-3</v>
      </c>
    </row>
    <row r="220" spans="1:11">
      <c r="A220" t="s">
        <v>19</v>
      </c>
      <c r="B220" t="s">
        <v>42</v>
      </c>
      <c r="C220" t="s">
        <v>43</v>
      </c>
      <c r="D220" t="s">
        <v>14</v>
      </c>
      <c r="E220" t="s">
        <v>15</v>
      </c>
      <c r="F220" t="s">
        <v>16</v>
      </c>
      <c r="G220" s="6">
        <v>2025</v>
      </c>
      <c r="H220" s="2">
        <v>1725</v>
      </c>
      <c r="I220" s="2">
        <v>326775.4164830728</v>
      </c>
      <c r="J220" s="3">
        <f>IFERROR(I220/H220,"")</f>
        <v>189.43502404815814</v>
      </c>
      <c r="K220" s="4">
        <f>IFERROR(H220/I220,"")</f>
        <v>5.27885487398455E-3</v>
      </c>
    </row>
    <row r="221" spans="1:11">
      <c r="A221" t="s">
        <v>13</v>
      </c>
      <c r="B221" t="s">
        <v>48</v>
      </c>
      <c r="C221" t="s">
        <v>43</v>
      </c>
      <c r="D221" t="s">
        <v>14</v>
      </c>
      <c r="E221" t="s">
        <v>15</v>
      </c>
      <c r="F221" t="s">
        <v>16</v>
      </c>
      <c r="G221" s="6" t="s">
        <v>82</v>
      </c>
      <c r="H221" s="2">
        <v>2609</v>
      </c>
      <c r="I221" s="2">
        <v>493404.58132103604</v>
      </c>
      <c r="J221" s="3">
        <f>IFERROR(I221/H221,"")</f>
        <v>189.11635926448295</v>
      </c>
      <c r="K221" s="4">
        <f>IFERROR(H221/I221,"")</f>
        <v>5.2877498482375093E-3</v>
      </c>
    </row>
    <row r="222" spans="1:11">
      <c r="A222" t="s">
        <v>11</v>
      </c>
      <c r="B222" t="s">
        <v>49</v>
      </c>
      <c r="C222" t="s">
        <v>40</v>
      </c>
      <c r="D222" t="s">
        <v>14</v>
      </c>
      <c r="E222" t="s">
        <v>15</v>
      </c>
      <c r="F222" t="s">
        <v>16</v>
      </c>
      <c r="G222" s="6" t="s">
        <v>81</v>
      </c>
      <c r="H222" s="2">
        <v>2185</v>
      </c>
      <c r="I222" s="2">
        <v>412203.71910775901</v>
      </c>
      <c r="J222" s="3">
        <f>IFERROR(I222/H222,"")</f>
        <v>188.65158769233821</v>
      </c>
      <c r="K222" s="4">
        <f>IFERROR(H222/I222,"")</f>
        <v>5.300777015621233E-3</v>
      </c>
    </row>
    <row r="223" spans="1:11">
      <c r="A223" t="s">
        <v>18</v>
      </c>
      <c r="B223" t="s">
        <v>12</v>
      </c>
      <c r="C223" t="s">
        <v>13</v>
      </c>
      <c r="D223" t="s">
        <v>14</v>
      </c>
      <c r="E223" t="s">
        <v>15</v>
      </c>
      <c r="F223" t="s">
        <v>16</v>
      </c>
      <c r="G223" s="6">
        <v>2025</v>
      </c>
      <c r="H223" s="2">
        <v>3284</v>
      </c>
      <c r="I223" s="2">
        <v>615775.74761961505</v>
      </c>
      <c r="J223" s="3">
        <f>IFERROR(I223/H223,"")</f>
        <v>187.50784032265989</v>
      </c>
      <c r="K223" s="4">
        <f>IFERROR(H223/I223,"")</f>
        <v>5.3331103290359446E-3</v>
      </c>
    </row>
    <row r="224" spans="1:11">
      <c r="A224" t="s">
        <v>13</v>
      </c>
      <c r="B224" t="s">
        <v>69</v>
      </c>
      <c r="C224" t="s">
        <v>40</v>
      </c>
      <c r="D224" t="s">
        <v>21</v>
      </c>
      <c r="E224" t="s">
        <v>15</v>
      </c>
      <c r="F224" t="s">
        <v>16</v>
      </c>
      <c r="G224" s="6" t="s">
        <v>81</v>
      </c>
      <c r="H224" s="2">
        <v>779</v>
      </c>
      <c r="I224" s="2">
        <v>145483.12342789309</v>
      </c>
      <c r="J224" s="3">
        <f>IFERROR(I224/H224,"")</f>
        <v>186.75625600499754</v>
      </c>
      <c r="K224" s="4">
        <f>IFERROR(H224/I224,"")</f>
        <v>5.3545729679504829E-3</v>
      </c>
    </row>
    <row r="225" spans="1:11">
      <c r="A225" t="s">
        <v>11</v>
      </c>
      <c r="B225" t="s">
        <v>52</v>
      </c>
      <c r="C225" t="s">
        <v>40</v>
      </c>
      <c r="D225" t="s">
        <v>21</v>
      </c>
      <c r="E225" t="s">
        <v>15</v>
      </c>
      <c r="F225" t="s">
        <v>16</v>
      </c>
      <c r="G225" s="6">
        <v>2024</v>
      </c>
      <c r="H225" s="2">
        <v>8608</v>
      </c>
      <c r="I225" s="2">
        <v>1597405.1692710051</v>
      </c>
      <c r="J225" s="3">
        <f>IFERROR(I225/H225,"")</f>
        <v>185.5721618576911</v>
      </c>
      <c r="K225" s="4">
        <f>IFERROR(H225/I225,"")</f>
        <v>5.3887392914399816E-3</v>
      </c>
    </row>
    <row r="226" spans="1:11">
      <c r="A226" t="s">
        <v>18</v>
      </c>
      <c r="B226" t="s">
        <v>74</v>
      </c>
      <c r="C226" t="s">
        <v>61</v>
      </c>
      <c r="D226" t="s">
        <v>14</v>
      </c>
      <c r="E226" t="s">
        <v>15</v>
      </c>
      <c r="F226" t="s">
        <v>16</v>
      </c>
      <c r="G226" s="6" t="s">
        <v>81</v>
      </c>
      <c r="H226" s="2">
        <v>4539</v>
      </c>
      <c r="I226" s="2">
        <v>841875.99227158097</v>
      </c>
      <c r="J226" s="3">
        <f>IFERROR(I226/H226,"")</f>
        <v>185.4760943537301</v>
      </c>
      <c r="K226" s="4">
        <f>IFERROR(H226/I226,"")</f>
        <v>5.3915303936304228E-3</v>
      </c>
    </row>
    <row r="227" spans="1:11">
      <c r="A227" t="s">
        <v>18</v>
      </c>
      <c r="B227" t="s">
        <v>12</v>
      </c>
      <c r="C227" t="s">
        <v>13</v>
      </c>
      <c r="D227" t="s">
        <v>14</v>
      </c>
      <c r="E227" t="s">
        <v>15</v>
      </c>
      <c r="F227" t="s">
        <v>16</v>
      </c>
      <c r="G227" s="6" t="s">
        <v>81</v>
      </c>
      <c r="H227" s="2">
        <v>1236</v>
      </c>
      <c r="I227" s="2">
        <v>227575.7867275661</v>
      </c>
      <c r="J227" s="3">
        <f>IFERROR(I227/H227,"")</f>
        <v>184.12280479576546</v>
      </c>
      <c r="K227" s="4">
        <f>IFERROR(H227/I227,"")</f>
        <v>5.4311577596769184E-3</v>
      </c>
    </row>
    <row r="228" spans="1:11">
      <c r="A228" t="s">
        <v>17</v>
      </c>
      <c r="B228" t="s">
        <v>68</v>
      </c>
      <c r="C228" t="s">
        <v>17</v>
      </c>
      <c r="D228" t="s">
        <v>21</v>
      </c>
      <c r="E228" t="s">
        <v>15</v>
      </c>
      <c r="F228" t="s">
        <v>16</v>
      </c>
      <c r="G228" s="6" t="s">
        <v>81</v>
      </c>
      <c r="H228" s="2">
        <v>1281</v>
      </c>
      <c r="I228" s="2">
        <v>233707.2072854632</v>
      </c>
      <c r="J228" s="3">
        <f>IFERROR(I228/H228,"")</f>
        <v>182.44122348591975</v>
      </c>
      <c r="K228" s="4">
        <f>IFERROR(H228/I228,"")</f>
        <v>5.4812173525967227E-3</v>
      </c>
    </row>
    <row r="229" spans="1:11">
      <c r="A229" t="s">
        <v>17</v>
      </c>
      <c r="B229" t="s">
        <v>56</v>
      </c>
      <c r="C229" t="s">
        <v>40</v>
      </c>
      <c r="D229" t="s">
        <v>21</v>
      </c>
      <c r="E229" t="s">
        <v>15</v>
      </c>
      <c r="F229" t="s">
        <v>16</v>
      </c>
      <c r="G229" s="6">
        <v>2024</v>
      </c>
      <c r="H229" s="2">
        <v>29529</v>
      </c>
      <c r="I229" s="2">
        <v>5380470.7149922438</v>
      </c>
      <c r="J229" s="3">
        <f>IFERROR(I229/H229,"")</f>
        <v>182.20971638024463</v>
      </c>
      <c r="K229" s="4">
        <f>IFERROR(H229/I229,"")</f>
        <v>5.4881815298650069E-3</v>
      </c>
    </row>
    <row r="230" spans="1:11">
      <c r="A230" t="s">
        <v>17</v>
      </c>
      <c r="B230" t="s">
        <v>24</v>
      </c>
      <c r="C230" t="s">
        <v>25</v>
      </c>
      <c r="D230" t="s">
        <v>14</v>
      </c>
      <c r="E230" t="s">
        <v>15</v>
      </c>
      <c r="F230" t="s">
        <v>26</v>
      </c>
      <c r="G230" s="6" t="s">
        <v>81</v>
      </c>
      <c r="H230" s="2">
        <v>2791</v>
      </c>
      <c r="I230" s="2">
        <v>507063.0137054614</v>
      </c>
      <c r="J230" s="3">
        <f>IFERROR(I230/H230,"")</f>
        <v>181.6778981388253</v>
      </c>
      <c r="K230" s="4">
        <f>IFERROR(H230/I230,"")</f>
        <v>5.5042468580073032E-3</v>
      </c>
    </row>
    <row r="231" spans="1:11">
      <c r="A231" t="s">
        <v>17</v>
      </c>
      <c r="B231" t="s">
        <v>63</v>
      </c>
      <c r="C231" t="s">
        <v>17</v>
      </c>
      <c r="D231" t="s">
        <v>33</v>
      </c>
      <c r="E231" t="s">
        <v>15</v>
      </c>
      <c r="F231" t="s">
        <v>16</v>
      </c>
      <c r="G231" s="6" t="s">
        <v>81</v>
      </c>
      <c r="H231" s="2">
        <v>11115</v>
      </c>
      <c r="I231" s="2">
        <v>2000378.3043216621</v>
      </c>
      <c r="J231" s="3">
        <f>IFERROR(I231/H231,"")</f>
        <v>179.97105751881799</v>
      </c>
      <c r="K231" s="4">
        <f>IFERROR(H231/I231,"")</f>
        <v>5.5564489856678133E-3</v>
      </c>
    </row>
    <row r="232" spans="1:11">
      <c r="A232" t="s">
        <v>19</v>
      </c>
      <c r="B232" t="s">
        <v>39</v>
      </c>
      <c r="C232" t="s">
        <v>40</v>
      </c>
      <c r="D232" t="s">
        <v>21</v>
      </c>
      <c r="E232" t="s">
        <v>15</v>
      </c>
      <c r="F232" t="s">
        <v>16</v>
      </c>
      <c r="G232" s="6" t="s">
        <v>81</v>
      </c>
      <c r="H232" s="2">
        <v>10108</v>
      </c>
      <c r="I232" s="2">
        <v>1818512.171578906</v>
      </c>
      <c r="J232" s="3">
        <f>IFERROR(I232/H232,"")</f>
        <v>179.90820850602552</v>
      </c>
      <c r="K232" s="4">
        <f>IFERROR(H232/I232,"")</f>
        <v>5.5583900718265879E-3</v>
      </c>
    </row>
    <row r="233" spans="1:11">
      <c r="A233" t="s">
        <v>17</v>
      </c>
      <c r="B233" t="s">
        <v>45</v>
      </c>
      <c r="C233" t="s">
        <v>38</v>
      </c>
      <c r="D233" t="s">
        <v>21</v>
      </c>
      <c r="E233" t="s">
        <v>15</v>
      </c>
      <c r="F233" t="s">
        <v>16</v>
      </c>
      <c r="G233" s="6" t="s">
        <v>82</v>
      </c>
      <c r="H233" s="2">
        <v>904</v>
      </c>
      <c r="I233" s="2">
        <v>161101.0924458701</v>
      </c>
      <c r="J233" s="3">
        <f>IFERROR(I233/H233,"")</f>
        <v>178.20917305959082</v>
      </c>
      <c r="K233" s="4">
        <f>IFERROR(H233/I233,"")</f>
        <v>5.6113834256198087E-3</v>
      </c>
    </row>
    <row r="234" spans="1:11">
      <c r="A234" t="s">
        <v>13</v>
      </c>
      <c r="B234" t="s">
        <v>52</v>
      </c>
      <c r="C234" t="s">
        <v>40</v>
      </c>
      <c r="D234" t="s">
        <v>21</v>
      </c>
      <c r="E234" t="s">
        <v>15</v>
      </c>
      <c r="F234" t="s">
        <v>16</v>
      </c>
      <c r="G234" s="6" t="s">
        <v>81</v>
      </c>
      <c r="H234" s="2">
        <v>3809</v>
      </c>
      <c r="I234" s="2">
        <v>677407.100159158</v>
      </c>
      <c r="J234" s="3">
        <f>IFERROR(I234/H234,"")</f>
        <v>177.84381731666002</v>
      </c>
      <c r="K234" s="4">
        <f>IFERROR(H234/I234,"")</f>
        <v>5.6229112436304088E-3</v>
      </c>
    </row>
    <row r="235" spans="1:11">
      <c r="A235" t="s">
        <v>19</v>
      </c>
      <c r="B235" t="s">
        <v>63</v>
      </c>
      <c r="C235" t="s">
        <v>17</v>
      </c>
      <c r="D235" t="s">
        <v>33</v>
      </c>
      <c r="E235" t="s">
        <v>15</v>
      </c>
      <c r="F235" t="s">
        <v>16</v>
      </c>
      <c r="G235" s="6">
        <v>2025</v>
      </c>
      <c r="H235" s="2">
        <v>16980</v>
      </c>
      <c r="I235" s="2">
        <v>3014352.9599178988</v>
      </c>
      <c r="J235" s="3">
        <f>IFERROR(I235/H235,"")</f>
        <v>177.52373144392809</v>
      </c>
      <c r="K235" s="4">
        <f>IFERROR(H235/I235,"")</f>
        <v>5.6330496878714831E-3</v>
      </c>
    </row>
    <row r="236" spans="1:11">
      <c r="A236" t="s">
        <v>17</v>
      </c>
      <c r="B236" t="s">
        <v>63</v>
      </c>
      <c r="C236" t="s">
        <v>17</v>
      </c>
      <c r="D236" t="s">
        <v>33</v>
      </c>
      <c r="E236" t="s">
        <v>15</v>
      </c>
      <c r="F236" t="s">
        <v>16</v>
      </c>
      <c r="G236" s="6">
        <v>2024</v>
      </c>
      <c r="H236" s="2">
        <v>36097</v>
      </c>
      <c r="I236" s="2">
        <v>6377585.9945960762</v>
      </c>
      <c r="J236" s="3">
        <f>IFERROR(I236/H236,"")</f>
        <v>176.67911445815653</v>
      </c>
      <c r="K236" s="4">
        <f>IFERROR(H236/I236,"")</f>
        <v>5.6599785609454884E-3</v>
      </c>
    </row>
    <row r="237" spans="1:11">
      <c r="A237" t="s">
        <v>18</v>
      </c>
      <c r="B237" t="s">
        <v>24</v>
      </c>
      <c r="C237" t="s">
        <v>25</v>
      </c>
      <c r="D237" t="s">
        <v>14</v>
      </c>
      <c r="E237" t="s">
        <v>15</v>
      </c>
      <c r="F237" t="s">
        <v>26</v>
      </c>
      <c r="G237" s="6">
        <v>2024</v>
      </c>
      <c r="H237" s="2">
        <v>5393</v>
      </c>
      <c r="I237" s="2">
        <v>948955.06810660625</v>
      </c>
      <c r="J237" s="3">
        <f>IFERROR(I237/H237,"")</f>
        <v>175.9605169862055</v>
      </c>
      <c r="K237" s="4">
        <f>IFERROR(H237/I237,"")</f>
        <v>5.6830931002458665E-3</v>
      </c>
    </row>
    <row r="238" spans="1:11">
      <c r="A238" t="s">
        <v>19</v>
      </c>
      <c r="B238" t="s">
        <v>69</v>
      </c>
      <c r="C238" t="s">
        <v>40</v>
      </c>
      <c r="D238" t="s">
        <v>21</v>
      </c>
      <c r="E238" t="s">
        <v>15</v>
      </c>
      <c r="F238" t="s">
        <v>16</v>
      </c>
      <c r="G238" s="6" t="s">
        <v>82</v>
      </c>
      <c r="H238" s="2">
        <v>709</v>
      </c>
      <c r="I238" s="2">
        <v>124457.52706948681</v>
      </c>
      <c r="J238" s="3">
        <f>IFERROR(I238/H238,"")</f>
        <v>175.53953042240735</v>
      </c>
      <c r="K238" s="4">
        <f>IFERROR(H238/I238,"")</f>
        <v>5.6967225421741905E-3</v>
      </c>
    </row>
    <row r="239" spans="1:11">
      <c r="A239" t="s">
        <v>19</v>
      </c>
      <c r="B239" t="s">
        <v>45</v>
      </c>
      <c r="C239" t="s">
        <v>38</v>
      </c>
      <c r="D239" t="s">
        <v>21</v>
      </c>
      <c r="E239" t="s">
        <v>15</v>
      </c>
      <c r="F239" t="s">
        <v>16</v>
      </c>
      <c r="G239" s="6">
        <v>2025</v>
      </c>
      <c r="H239" s="2">
        <v>1505</v>
      </c>
      <c r="I239" s="2">
        <v>263476.5536428187</v>
      </c>
      <c r="J239" s="3">
        <f>IFERROR(I239/H239,"")</f>
        <v>175.06747750353404</v>
      </c>
      <c r="K239" s="4">
        <f>IFERROR(H239/I239,"")</f>
        <v>5.7120832164832746E-3</v>
      </c>
    </row>
    <row r="240" spans="1:11">
      <c r="A240" t="s">
        <v>18</v>
      </c>
      <c r="B240" t="s">
        <v>68</v>
      </c>
      <c r="C240" t="s">
        <v>17</v>
      </c>
      <c r="D240" t="s">
        <v>21</v>
      </c>
      <c r="E240" t="s">
        <v>15</v>
      </c>
      <c r="F240" t="s">
        <v>16</v>
      </c>
      <c r="G240" s="6" t="s">
        <v>81</v>
      </c>
      <c r="H240" s="2">
        <v>135</v>
      </c>
      <c r="I240" s="2">
        <v>23591.322752148932</v>
      </c>
      <c r="J240" s="3">
        <f>IFERROR(I240/H240,"")</f>
        <v>174.75053890480689</v>
      </c>
      <c r="K240" s="4">
        <f>IFERROR(H240/I240,"")</f>
        <v>5.7224430108609682E-3</v>
      </c>
    </row>
    <row r="241" spans="1:11">
      <c r="A241" t="s">
        <v>13</v>
      </c>
      <c r="B241" t="s">
        <v>31</v>
      </c>
      <c r="C241" t="s">
        <v>11</v>
      </c>
      <c r="D241" t="s">
        <v>21</v>
      </c>
      <c r="E241" t="s">
        <v>15</v>
      </c>
      <c r="F241" t="s">
        <v>16</v>
      </c>
      <c r="G241" s="6">
        <v>2024</v>
      </c>
      <c r="H241" s="2">
        <v>5410</v>
      </c>
      <c r="I241" s="2">
        <v>939653.63050926046</v>
      </c>
      <c r="J241" s="3">
        <f>IFERROR(I241/H241,"")</f>
        <v>173.68828660060268</v>
      </c>
      <c r="K241" s="4">
        <f>IFERROR(H241/I241,"")</f>
        <v>5.7574406401941563E-3</v>
      </c>
    </row>
    <row r="242" spans="1:11">
      <c r="A242" t="s">
        <v>13</v>
      </c>
      <c r="B242" t="s">
        <v>49</v>
      </c>
      <c r="C242" t="s">
        <v>40</v>
      </c>
      <c r="D242" t="s">
        <v>14</v>
      </c>
      <c r="E242" t="s">
        <v>15</v>
      </c>
      <c r="F242" t="s">
        <v>16</v>
      </c>
      <c r="G242" s="6" t="s">
        <v>81</v>
      </c>
      <c r="H242" s="2">
        <v>2290</v>
      </c>
      <c r="I242" s="2">
        <v>395582.52239047718</v>
      </c>
      <c r="J242" s="3">
        <f>IFERROR(I242/H242,"")</f>
        <v>172.74345955916036</v>
      </c>
      <c r="K242" s="4">
        <f>IFERROR(H242/I242,"")</f>
        <v>5.7889311847290218E-3</v>
      </c>
    </row>
    <row r="243" spans="1:11">
      <c r="A243" t="s">
        <v>13</v>
      </c>
      <c r="B243" t="s">
        <v>52</v>
      </c>
      <c r="C243" t="s">
        <v>40</v>
      </c>
      <c r="D243" t="s">
        <v>21</v>
      </c>
      <c r="E243" t="s">
        <v>15</v>
      </c>
      <c r="F243" t="s">
        <v>16</v>
      </c>
      <c r="G243" s="6" t="s">
        <v>82</v>
      </c>
      <c r="H243" s="2">
        <v>5290</v>
      </c>
      <c r="I243" s="2">
        <v>911277.21062184009</v>
      </c>
      <c r="J243" s="3">
        <f>IFERROR(I243/H243,"")</f>
        <v>172.26412299089606</v>
      </c>
      <c r="K243" s="4">
        <f>IFERROR(H243/I243,"")</f>
        <v>5.8050392771154605E-3</v>
      </c>
    </row>
    <row r="244" spans="1:11">
      <c r="A244" t="s">
        <v>18</v>
      </c>
      <c r="B244" t="s">
        <v>44</v>
      </c>
      <c r="C244" t="s">
        <v>36</v>
      </c>
      <c r="D244" t="s">
        <v>21</v>
      </c>
      <c r="E244" t="s">
        <v>15</v>
      </c>
      <c r="F244" t="s">
        <v>16</v>
      </c>
      <c r="G244" s="6">
        <v>2024</v>
      </c>
      <c r="H244" s="2">
        <v>10286</v>
      </c>
      <c r="I244" s="2">
        <v>1770434.2270477402</v>
      </c>
      <c r="J244" s="3">
        <f>IFERROR(I244/H244,"")</f>
        <v>172.12076871939919</v>
      </c>
      <c r="K244" s="4">
        <f>IFERROR(H244/I244,"")</f>
        <v>5.809874121758399E-3</v>
      </c>
    </row>
    <row r="245" spans="1:11">
      <c r="A245" t="s">
        <v>13</v>
      </c>
      <c r="B245" t="s">
        <v>31</v>
      </c>
      <c r="C245" t="s">
        <v>11</v>
      </c>
      <c r="D245" t="s">
        <v>21</v>
      </c>
      <c r="E245" t="s">
        <v>15</v>
      </c>
      <c r="F245" t="s">
        <v>16</v>
      </c>
      <c r="G245" s="6">
        <v>2025</v>
      </c>
      <c r="H245" s="2">
        <v>4645</v>
      </c>
      <c r="I245" s="2">
        <v>791497.78014080878</v>
      </c>
      <c r="J245" s="3">
        <f>IFERROR(I245/H245,"")</f>
        <v>170.3977998150288</v>
      </c>
      <c r="K245" s="4">
        <f>IFERROR(H245/I245,"")</f>
        <v>5.868620375882351E-3</v>
      </c>
    </row>
    <row r="246" spans="1:11">
      <c r="A246" t="s">
        <v>13</v>
      </c>
      <c r="B246" t="s">
        <v>28</v>
      </c>
      <c r="C246" t="s">
        <v>18</v>
      </c>
      <c r="D246" t="s">
        <v>21</v>
      </c>
      <c r="E246" t="s">
        <v>15</v>
      </c>
      <c r="F246" t="s">
        <v>16</v>
      </c>
      <c r="G246" s="6">
        <v>2024</v>
      </c>
      <c r="H246" s="2">
        <v>16788</v>
      </c>
      <c r="I246" s="2">
        <v>2823385.7146892268</v>
      </c>
      <c r="J246" s="3">
        <f>IFERROR(I246/H246,"")</f>
        <v>168.17880120855531</v>
      </c>
      <c r="K246" s="4">
        <f>IFERROR(H246/I246,"")</f>
        <v>5.9460526107563286E-3</v>
      </c>
    </row>
    <row r="247" spans="1:11">
      <c r="A247" t="s">
        <v>11</v>
      </c>
      <c r="B247" t="s">
        <v>23</v>
      </c>
      <c r="C247" t="s">
        <v>17</v>
      </c>
      <c r="D247" t="s">
        <v>14</v>
      </c>
      <c r="E247" t="s">
        <v>15</v>
      </c>
      <c r="F247" t="s">
        <v>16</v>
      </c>
      <c r="G247" s="6" t="s">
        <v>82</v>
      </c>
      <c r="H247" s="2">
        <v>17631</v>
      </c>
      <c r="I247" s="2">
        <v>2940886.8339949427</v>
      </c>
      <c r="J247" s="3">
        <f>IFERROR(I247/H247,"")</f>
        <v>166.80204378622554</v>
      </c>
      <c r="K247" s="4">
        <f>IFERROR(H247/I247,"")</f>
        <v>5.9951303791073787E-3</v>
      </c>
    </row>
    <row r="248" spans="1:11">
      <c r="A248" t="s">
        <v>18</v>
      </c>
      <c r="B248" t="s">
        <v>56</v>
      </c>
      <c r="C248" t="s">
        <v>40</v>
      </c>
      <c r="D248" t="s">
        <v>21</v>
      </c>
      <c r="E248" t="s">
        <v>15</v>
      </c>
      <c r="F248" t="s">
        <v>16</v>
      </c>
      <c r="G248" s="6" t="s">
        <v>81</v>
      </c>
      <c r="H248" s="2">
        <v>14280</v>
      </c>
      <c r="I248" s="2">
        <v>2365919.9311476909</v>
      </c>
      <c r="J248" s="3">
        <f>IFERROR(I248/H248,"")</f>
        <v>165.68066744731729</v>
      </c>
      <c r="K248" s="4">
        <f>IFERROR(H248/I248,"")</f>
        <v>6.0357072156169179E-3</v>
      </c>
    </row>
    <row r="249" spans="1:11">
      <c r="A249" t="s">
        <v>17</v>
      </c>
      <c r="B249" t="s">
        <v>31</v>
      </c>
      <c r="C249" t="s">
        <v>11</v>
      </c>
      <c r="D249" t="s">
        <v>21</v>
      </c>
      <c r="E249" t="s">
        <v>15</v>
      </c>
      <c r="F249" t="s">
        <v>16</v>
      </c>
      <c r="G249" s="6">
        <v>2024</v>
      </c>
      <c r="H249" s="2">
        <v>3587</v>
      </c>
      <c r="I249" s="2">
        <v>592871.81387370219</v>
      </c>
      <c r="J249" s="3">
        <f>IFERROR(I249/H249,"")</f>
        <v>165.28347194694791</v>
      </c>
      <c r="K249" s="4">
        <f>IFERROR(H249/I249,"")</f>
        <v>6.0502117254711127E-3</v>
      </c>
    </row>
    <row r="250" spans="1:11">
      <c r="A250" t="s">
        <v>18</v>
      </c>
      <c r="B250" t="s">
        <v>54</v>
      </c>
      <c r="C250" t="s">
        <v>25</v>
      </c>
      <c r="D250" t="s">
        <v>21</v>
      </c>
      <c r="E250" t="s">
        <v>15</v>
      </c>
      <c r="F250" t="s">
        <v>26</v>
      </c>
      <c r="G250" s="6">
        <v>2024</v>
      </c>
      <c r="H250" s="2">
        <v>30770</v>
      </c>
      <c r="I250" s="2">
        <v>5082000</v>
      </c>
      <c r="J250" s="3">
        <f>IFERROR(I250/H250,"")</f>
        <v>165.16087097822555</v>
      </c>
      <c r="K250" s="4">
        <f>IFERROR(H250/I250,"")</f>
        <v>6.0547028728846911E-3</v>
      </c>
    </row>
    <row r="251" spans="1:11">
      <c r="A251" t="s">
        <v>18</v>
      </c>
      <c r="B251" t="s">
        <v>74</v>
      </c>
      <c r="C251" t="s">
        <v>61</v>
      </c>
      <c r="D251" t="s">
        <v>14</v>
      </c>
      <c r="E251" t="s">
        <v>15</v>
      </c>
      <c r="F251" t="s">
        <v>16</v>
      </c>
      <c r="G251" s="6" t="s">
        <v>82</v>
      </c>
      <c r="H251" s="2">
        <v>4654</v>
      </c>
      <c r="I251" s="2">
        <v>764497.15574435098</v>
      </c>
      <c r="J251" s="3">
        <f>IFERROR(I251/H251,"")</f>
        <v>164.26668580669337</v>
      </c>
      <c r="K251" s="4">
        <f>IFERROR(H251/I251,"")</f>
        <v>6.08766162834006E-3</v>
      </c>
    </row>
    <row r="252" spans="1:11">
      <c r="A252" t="s">
        <v>18</v>
      </c>
      <c r="B252" t="s">
        <v>44</v>
      </c>
      <c r="C252" t="s">
        <v>36</v>
      </c>
      <c r="D252" t="s">
        <v>21</v>
      </c>
      <c r="E252" t="s">
        <v>15</v>
      </c>
      <c r="F252" t="s">
        <v>16</v>
      </c>
      <c r="G252" s="6" t="s">
        <v>82</v>
      </c>
      <c r="H252" s="2">
        <v>3309</v>
      </c>
      <c r="I252" s="2">
        <v>542275.257406738</v>
      </c>
      <c r="J252" s="3">
        <f>IFERROR(I252/H252,"")</f>
        <v>163.87889314195769</v>
      </c>
      <c r="K252" s="4">
        <f>IFERROR(H252/I252,"")</f>
        <v>6.1020670864170689E-3</v>
      </c>
    </row>
    <row r="253" spans="1:11">
      <c r="A253" t="s">
        <v>13</v>
      </c>
      <c r="B253" t="s">
        <v>68</v>
      </c>
      <c r="C253" t="s">
        <v>17</v>
      </c>
      <c r="D253" t="s">
        <v>21</v>
      </c>
      <c r="E253" t="s">
        <v>15</v>
      </c>
      <c r="F253" t="s">
        <v>16</v>
      </c>
      <c r="G253" s="6">
        <v>2025</v>
      </c>
      <c r="H253" s="2">
        <v>724</v>
      </c>
      <c r="I253" s="2">
        <v>118608.47564952736</v>
      </c>
      <c r="J253" s="3">
        <f>IFERROR(I253/H253,"")</f>
        <v>163.8238613943748</v>
      </c>
      <c r="K253" s="4">
        <f>IFERROR(H253/I253,"")</f>
        <v>6.1041168941360141E-3</v>
      </c>
    </row>
    <row r="254" spans="1:11">
      <c r="A254" t="s">
        <v>19</v>
      </c>
      <c r="B254" t="s">
        <v>63</v>
      </c>
      <c r="C254" t="s">
        <v>17</v>
      </c>
      <c r="D254" t="s">
        <v>33</v>
      </c>
      <c r="E254" t="s">
        <v>15</v>
      </c>
      <c r="F254" t="s">
        <v>16</v>
      </c>
      <c r="G254" s="6" t="s">
        <v>82</v>
      </c>
      <c r="H254" s="2">
        <v>6041</v>
      </c>
      <c r="I254" s="2">
        <v>984503.854600886</v>
      </c>
      <c r="J254" s="3">
        <f>IFERROR(I254/H254,"")</f>
        <v>162.97034507546533</v>
      </c>
      <c r="K254" s="4">
        <f>IFERROR(H254/I254,"")</f>
        <v>6.1360856758138314E-3</v>
      </c>
    </row>
    <row r="255" spans="1:11">
      <c r="A255" t="s">
        <v>11</v>
      </c>
      <c r="B255" t="s">
        <v>53</v>
      </c>
      <c r="C255" t="s">
        <v>17</v>
      </c>
      <c r="D255" t="s">
        <v>14</v>
      </c>
      <c r="E255" t="s">
        <v>15</v>
      </c>
      <c r="F255" t="s">
        <v>16</v>
      </c>
      <c r="G255" s="6" t="s">
        <v>82</v>
      </c>
      <c r="H255" s="2">
        <v>12258</v>
      </c>
      <c r="I255" s="2">
        <v>1997149.149689303</v>
      </c>
      <c r="J255" s="3">
        <f>IFERROR(I255/H255,"")</f>
        <v>162.92618287561618</v>
      </c>
      <c r="K255" s="4">
        <f>IFERROR(H255/I255,"")</f>
        <v>6.1377489016816696E-3</v>
      </c>
    </row>
    <row r="256" spans="1:11">
      <c r="A256" t="s">
        <v>11</v>
      </c>
      <c r="B256" t="s">
        <v>49</v>
      </c>
      <c r="C256" t="s">
        <v>40</v>
      </c>
      <c r="D256" t="s">
        <v>14</v>
      </c>
      <c r="E256" t="s">
        <v>15</v>
      </c>
      <c r="F256" t="s">
        <v>16</v>
      </c>
      <c r="G256" s="6">
        <v>2024</v>
      </c>
      <c r="H256" s="2">
        <v>7203</v>
      </c>
      <c r="I256" s="2">
        <v>1172858.2536023238</v>
      </c>
      <c r="J256" s="3">
        <f>IFERROR(I256/H256,"")</f>
        <v>162.82913419440843</v>
      </c>
      <c r="K256" s="4">
        <f>IFERROR(H256/I256,"")</f>
        <v>6.1414070949125038E-3</v>
      </c>
    </row>
    <row r="257" spans="1:11">
      <c r="A257" t="s">
        <v>19</v>
      </c>
      <c r="B257" t="s">
        <v>39</v>
      </c>
      <c r="C257" t="s">
        <v>40</v>
      </c>
      <c r="D257" t="s">
        <v>21</v>
      </c>
      <c r="E257" t="s">
        <v>15</v>
      </c>
      <c r="F257" t="s">
        <v>16</v>
      </c>
      <c r="G257" s="6">
        <v>2024</v>
      </c>
      <c r="H257" s="2">
        <v>30636</v>
      </c>
      <c r="I257" s="2">
        <v>4972154.3741334314</v>
      </c>
      <c r="J257" s="3">
        <f>IFERROR(I257/H257,"")</f>
        <v>162.29776648823056</v>
      </c>
      <c r="K257" s="4">
        <f>IFERROR(H257/I257,"")</f>
        <v>6.1615142440824503E-3</v>
      </c>
    </row>
    <row r="258" spans="1:11">
      <c r="A258" t="s">
        <v>17</v>
      </c>
      <c r="B258" t="s">
        <v>68</v>
      </c>
      <c r="C258" t="s">
        <v>17</v>
      </c>
      <c r="D258" t="s">
        <v>21</v>
      </c>
      <c r="E258" t="s">
        <v>15</v>
      </c>
      <c r="F258" t="s">
        <v>16</v>
      </c>
      <c r="G258" s="6">
        <v>2025</v>
      </c>
      <c r="H258" s="2">
        <v>4726</v>
      </c>
      <c r="I258" s="2">
        <v>765388.17507932265</v>
      </c>
      <c r="J258" s="3">
        <f>IFERROR(I258/H258,"")</f>
        <v>161.95263966976782</v>
      </c>
      <c r="K258" s="4">
        <f>IFERROR(H258/I258,"")</f>
        <v>6.1746446494423705E-3</v>
      </c>
    </row>
    <row r="259" spans="1:11">
      <c r="A259" t="s">
        <v>18</v>
      </c>
      <c r="B259" t="s">
        <v>35</v>
      </c>
      <c r="C259" t="s">
        <v>36</v>
      </c>
      <c r="D259" t="s">
        <v>21</v>
      </c>
      <c r="E259" t="s">
        <v>15</v>
      </c>
      <c r="F259" t="s">
        <v>16</v>
      </c>
      <c r="G259" s="6">
        <v>2024</v>
      </c>
      <c r="H259" s="2">
        <v>25596</v>
      </c>
      <c r="I259" s="2">
        <v>4137491.2043317258</v>
      </c>
      <c r="J259" s="3">
        <f>IFERROR(I259/H259,"")</f>
        <v>161.64600735785771</v>
      </c>
      <c r="K259" s="4">
        <f>IFERROR(H259/I259,"")</f>
        <v>6.1863575620903785E-3</v>
      </c>
    </row>
    <row r="260" spans="1:11">
      <c r="A260" t="s">
        <v>18</v>
      </c>
      <c r="B260" t="s">
        <v>35</v>
      </c>
      <c r="C260" t="s">
        <v>36</v>
      </c>
      <c r="D260" t="s">
        <v>21</v>
      </c>
      <c r="E260" t="s">
        <v>15</v>
      </c>
      <c r="F260" t="s">
        <v>16</v>
      </c>
      <c r="G260" s="6" t="s">
        <v>82</v>
      </c>
      <c r="H260" s="2">
        <v>7223</v>
      </c>
      <c r="I260" s="2">
        <v>1165489.4668360851</v>
      </c>
      <c r="J260" s="3">
        <f>IFERROR(I260/H260,"")</f>
        <v>161.35808761402257</v>
      </c>
      <c r="K260" s="4">
        <f>IFERROR(H260/I260,"")</f>
        <v>6.1973962060832988E-3</v>
      </c>
    </row>
    <row r="261" spans="1:11">
      <c r="A261" t="s">
        <v>18</v>
      </c>
      <c r="B261" t="s">
        <v>56</v>
      </c>
      <c r="C261" t="s">
        <v>40</v>
      </c>
      <c r="D261" t="s">
        <v>21</v>
      </c>
      <c r="E261" t="s">
        <v>15</v>
      </c>
      <c r="F261" t="s">
        <v>16</v>
      </c>
      <c r="G261" s="6">
        <v>2025</v>
      </c>
      <c r="H261" s="2">
        <v>34711</v>
      </c>
      <c r="I261" s="2">
        <v>5586973.6311228601</v>
      </c>
      <c r="J261" s="3">
        <f>IFERROR(I261/H261,"")</f>
        <v>160.95686183408316</v>
      </c>
      <c r="K261" s="4">
        <f>IFERROR(H261/I261,"")</f>
        <v>6.2128447871381562E-3</v>
      </c>
    </row>
    <row r="262" spans="1:11">
      <c r="A262" t="s">
        <v>19</v>
      </c>
      <c r="B262" t="s">
        <v>12</v>
      </c>
      <c r="C262" t="s">
        <v>13</v>
      </c>
      <c r="D262" t="s">
        <v>14</v>
      </c>
      <c r="E262" t="s">
        <v>15</v>
      </c>
      <c r="F262" t="s">
        <v>16</v>
      </c>
      <c r="G262" s="6" t="s">
        <v>82</v>
      </c>
      <c r="H262" s="2">
        <v>949</v>
      </c>
      <c r="I262" s="2">
        <v>151496.49622217621</v>
      </c>
      <c r="J262" s="3">
        <f>IFERROR(I262/H262,"")</f>
        <v>159.63803606130264</v>
      </c>
      <c r="K262" s="4">
        <f>IFERROR(H262/I262,"")</f>
        <v>6.2641712756726078E-3</v>
      </c>
    </row>
    <row r="263" spans="1:11">
      <c r="A263" t="s">
        <v>19</v>
      </c>
      <c r="B263" t="s">
        <v>39</v>
      </c>
      <c r="C263" t="s">
        <v>40</v>
      </c>
      <c r="D263" t="s">
        <v>21</v>
      </c>
      <c r="E263" t="s">
        <v>15</v>
      </c>
      <c r="F263" t="s">
        <v>16</v>
      </c>
      <c r="G263" s="6" t="s">
        <v>82</v>
      </c>
      <c r="H263" s="2">
        <v>8506</v>
      </c>
      <c r="I263" s="2">
        <v>1348333.3488204021</v>
      </c>
      <c r="J263" s="3">
        <f>IFERROR(I263/H263,"")</f>
        <v>158.51555946630637</v>
      </c>
      <c r="K263" s="4">
        <f>IFERROR(H263/I263,"")</f>
        <v>6.308528975747376E-3</v>
      </c>
    </row>
    <row r="264" spans="1:11">
      <c r="A264" t="s">
        <v>11</v>
      </c>
      <c r="B264" t="s">
        <v>46</v>
      </c>
      <c r="C264" t="s">
        <v>38</v>
      </c>
      <c r="D264" t="s">
        <v>21</v>
      </c>
      <c r="E264" t="s">
        <v>15</v>
      </c>
      <c r="F264" t="s">
        <v>16</v>
      </c>
      <c r="G264" s="6" t="s">
        <v>82</v>
      </c>
      <c r="H264" s="2">
        <v>10526</v>
      </c>
      <c r="I264" s="2">
        <v>1662643.862157796</v>
      </c>
      <c r="J264" s="3">
        <f>IFERROR(I264/H264,"")</f>
        <v>157.9559055821581</v>
      </c>
      <c r="K264" s="4">
        <f>IFERROR(H264/I264,"")</f>
        <v>6.3308807373451889E-3</v>
      </c>
    </row>
    <row r="265" spans="1:11">
      <c r="A265" t="s">
        <v>18</v>
      </c>
      <c r="B265" t="s">
        <v>74</v>
      </c>
      <c r="C265" t="s">
        <v>61</v>
      </c>
      <c r="D265" t="s">
        <v>14</v>
      </c>
      <c r="E265" t="s">
        <v>15</v>
      </c>
      <c r="F265" t="s">
        <v>16</v>
      </c>
      <c r="G265" s="6">
        <v>2025</v>
      </c>
      <c r="H265" s="2">
        <v>15173</v>
      </c>
      <c r="I265" s="2">
        <v>2378137.07462725</v>
      </c>
      <c r="J265" s="3">
        <f>IFERROR(I265/H265,"")</f>
        <v>156.73479698327623</v>
      </c>
      <c r="K265" s="4">
        <f>IFERROR(H265/I265,"")</f>
        <v>6.38020413620532E-3</v>
      </c>
    </row>
    <row r="266" spans="1:11">
      <c r="A266" t="s">
        <v>11</v>
      </c>
      <c r="B266" t="s">
        <v>55</v>
      </c>
      <c r="C266" t="s">
        <v>43</v>
      </c>
      <c r="D266" t="s">
        <v>21</v>
      </c>
      <c r="E266" t="s">
        <v>15</v>
      </c>
      <c r="F266" t="s">
        <v>16</v>
      </c>
      <c r="G266" s="6">
        <v>2024</v>
      </c>
      <c r="H266" s="2">
        <v>19566</v>
      </c>
      <c r="I266" s="2">
        <v>3044705.5722940583</v>
      </c>
      <c r="J266" s="3">
        <f>IFERROR(I266/H266,"")</f>
        <v>155.6120603237278</v>
      </c>
      <c r="K266" s="4">
        <f>IFERROR(H266/I266,"")</f>
        <v>6.4262371304617929E-3</v>
      </c>
    </row>
    <row r="267" spans="1:11">
      <c r="A267" t="s">
        <v>13</v>
      </c>
      <c r="B267" t="s">
        <v>71</v>
      </c>
      <c r="C267" t="s">
        <v>36</v>
      </c>
      <c r="D267" t="s">
        <v>14</v>
      </c>
      <c r="E267" t="s">
        <v>62</v>
      </c>
      <c r="F267" t="s">
        <v>26</v>
      </c>
      <c r="G267" s="6">
        <v>2024</v>
      </c>
      <c r="H267" s="2">
        <v>15650</v>
      </c>
      <c r="I267" s="2">
        <v>2419473.6493769772</v>
      </c>
      <c r="J267" s="3">
        <f>IFERROR(I267/H267,"")</f>
        <v>154.59895523175572</v>
      </c>
      <c r="K267" s="4">
        <f>IFERROR(H267/I267,"")</f>
        <v>6.4683490163366438E-3</v>
      </c>
    </row>
    <row r="268" spans="1:11">
      <c r="A268" t="s">
        <v>19</v>
      </c>
      <c r="B268" t="s">
        <v>68</v>
      </c>
      <c r="C268" t="s">
        <v>17</v>
      </c>
      <c r="D268" t="s">
        <v>21</v>
      </c>
      <c r="E268" t="s">
        <v>15</v>
      </c>
      <c r="F268" t="s">
        <v>16</v>
      </c>
      <c r="G268" s="6">
        <v>2025</v>
      </c>
      <c r="H268" s="2">
        <v>1580</v>
      </c>
      <c r="I268" s="2">
        <v>241631.3316844549</v>
      </c>
      <c r="J268" s="3">
        <f>IFERROR(I268/H268,"")</f>
        <v>152.93122258509803</v>
      </c>
      <c r="K268" s="4">
        <f>IFERROR(H268/I268,"")</f>
        <v>6.5388871094884081E-3</v>
      </c>
    </row>
    <row r="269" spans="1:11">
      <c r="A269" t="s">
        <v>11</v>
      </c>
      <c r="B269" t="s">
        <v>74</v>
      </c>
      <c r="C269" t="s">
        <v>61</v>
      </c>
      <c r="D269" t="s">
        <v>14</v>
      </c>
      <c r="E269" t="s">
        <v>15</v>
      </c>
      <c r="F269" t="s">
        <v>16</v>
      </c>
      <c r="G269" s="6" t="s">
        <v>81</v>
      </c>
      <c r="H269" s="2">
        <v>3367</v>
      </c>
      <c r="I269" s="2">
        <v>511659.36470714433</v>
      </c>
      <c r="J269" s="3">
        <f>IFERROR(I269/H269,"")</f>
        <v>151.96298328100514</v>
      </c>
      <c r="K269" s="4">
        <f>IFERROR(H269/I269,"")</f>
        <v>6.5805499366304986E-3</v>
      </c>
    </row>
    <row r="270" spans="1:11">
      <c r="A270" t="s">
        <v>11</v>
      </c>
      <c r="B270" t="s">
        <v>20</v>
      </c>
      <c r="C270" t="s">
        <v>11</v>
      </c>
      <c r="D270" t="s">
        <v>21</v>
      </c>
      <c r="E270" t="s">
        <v>15</v>
      </c>
      <c r="F270" t="s">
        <v>16</v>
      </c>
      <c r="G270" s="6">
        <v>2025</v>
      </c>
      <c r="H270" s="2">
        <v>5381</v>
      </c>
      <c r="I270" s="2">
        <v>815872.04212038277</v>
      </c>
      <c r="J270" s="3">
        <f>IFERROR(I270/H270,"")</f>
        <v>151.62089613833541</v>
      </c>
      <c r="K270" s="4">
        <f>IFERROR(H270/I270,"")</f>
        <v>6.5953969767308532E-3</v>
      </c>
    </row>
    <row r="271" spans="1:11">
      <c r="A271" t="s">
        <v>17</v>
      </c>
      <c r="B271" t="s">
        <v>69</v>
      </c>
      <c r="C271" t="s">
        <v>40</v>
      </c>
      <c r="D271" t="s">
        <v>21</v>
      </c>
      <c r="E271" t="s">
        <v>15</v>
      </c>
      <c r="F271" t="s">
        <v>16</v>
      </c>
      <c r="G271" s="6" t="s">
        <v>82</v>
      </c>
      <c r="H271" s="2">
        <v>1096</v>
      </c>
      <c r="I271" s="2">
        <v>165988.46324119641</v>
      </c>
      <c r="J271" s="3">
        <f>IFERROR(I271/H271,"")</f>
        <v>151.44932777481424</v>
      </c>
      <c r="K271" s="4">
        <f>IFERROR(H271/I271,"")</f>
        <v>6.6028685283230307E-3</v>
      </c>
    </row>
    <row r="272" spans="1:11">
      <c r="A272" t="s">
        <v>18</v>
      </c>
      <c r="B272" t="s">
        <v>44</v>
      </c>
      <c r="C272" t="s">
        <v>36</v>
      </c>
      <c r="D272" t="s">
        <v>21</v>
      </c>
      <c r="E272" t="s">
        <v>15</v>
      </c>
      <c r="F272" t="s">
        <v>16</v>
      </c>
      <c r="G272" s="6">
        <v>2025</v>
      </c>
      <c r="H272" s="2">
        <v>10355</v>
      </c>
      <c r="I272" s="2">
        <v>1567582.336603893</v>
      </c>
      <c r="J272" s="3">
        <f>IFERROR(I272/H272,"")</f>
        <v>151.38409817517075</v>
      </c>
      <c r="K272" s="4">
        <f>IFERROR(H272/I272,"")</f>
        <v>6.6057136255016184E-3</v>
      </c>
    </row>
    <row r="273" spans="1:11">
      <c r="A273" t="s">
        <v>13</v>
      </c>
      <c r="B273" t="s">
        <v>56</v>
      </c>
      <c r="C273" t="s">
        <v>40</v>
      </c>
      <c r="D273" t="s">
        <v>21</v>
      </c>
      <c r="E273" t="s">
        <v>15</v>
      </c>
      <c r="F273" t="s">
        <v>16</v>
      </c>
      <c r="G273" s="6">
        <v>2024</v>
      </c>
      <c r="H273" s="2">
        <v>34947</v>
      </c>
      <c r="I273" s="2">
        <v>5242971.424899824</v>
      </c>
      <c r="J273" s="3">
        <f>IFERROR(I273/H273,"")</f>
        <v>150.02636635189927</v>
      </c>
      <c r="K273" s="4">
        <f>IFERROR(H273/I273,"")</f>
        <v>6.6654950347488726E-3</v>
      </c>
    </row>
    <row r="274" spans="1:11">
      <c r="A274" t="s">
        <v>18</v>
      </c>
      <c r="B274" t="s">
        <v>45</v>
      </c>
      <c r="C274" t="s">
        <v>38</v>
      </c>
      <c r="D274" t="s">
        <v>21</v>
      </c>
      <c r="E274" t="s">
        <v>15</v>
      </c>
      <c r="F274" t="s">
        <v>16</v>
      </c>
      <c r="G274" s="6">
        <v>2025</v>
      </c>
      <c r="H274" s="2">
        <v>3888</v>
      </c>
      <c r="I274" s="2">
        <v>582691</v>
      </c>
      <c r="J274" s="3">
        <f>IFERROR(I274/H274,"")</f>
        <v>149.86908436213992</v>
      </c>
      <c r="K274" s="4">
        <f>IFERROR(H274/I274,"")</f>
        <v>6.6724902220902677E-3</v>
      </c>
    </row>
    <row r="275" spans="1:11">
      <c r="A275" t="s">
        <v>13</v>
      </c>
      <c r="B275" t="s">
        <v>24</v>
      </c>
      <c r="C275" t="s">
        <v>25</v>
      </c>
      <c r="D275" t="s">
        <v>14</v>
      </c>
      <c r="E275" t="s">
        <v>15</v>
      </c>
      <c r="F275" t="s">
        <v>26</v>
      </c>
      <c r="G275" s="6">
        <v>2025</v>
      </c>
      <c r="H275" s="2">
        <v>23621</v>
      </c>
      <c r="I275" s="2">
        <v>3516805.7967403578</v>
      </c>
      <c r="J275" s="3">
        <f>IFERROR(I275/H275,"")</f>
        <v>148.8847126176012</v>
      </c>
      <c r="K275" s="4">
        <f>IFERROR(H275/I275,"")</f>
        <v>6.7166063084557392E-3</v>
      </c>
    </row>
    <row r="276" spans="1:11">
      <c r="A276" t="s">
        <v>18</v>
      </c>
      <c r="B276" t="s">
        <v>71</v>
      </c>
      <c r="C276" t="s">
        <v>36</v>
      </c>
      <c r="D276" t="s">
        <v>14</v>
      </c>
      <c r="E276" t="s">
        <v>62</v>
      </c>
      <c r="F276" t="s">
        <v>26</v>
      </c>
      <c r="G276" s="6">
        <v>2025</v>
      </c>
      <c r="H276" s="2">
        <v>16005</v>
      </c>
      <c r="I276" s="2">
        <v>2365453.3858839292</v>
      </c>
      <c r="J276" s="3">
        <f>IFERROR(I276/H276,"")</f>
        <v>147.79465078937389</v>
      </c>
      <c r="K276" s="4">
        <f>IFERROR(H276/I276,"")</f>
        <v>6.7661447465045725E-3</v>
      </c>
    </row>
    <row r="277" spans="1:11">
      <c r="A277" t="s">
        <v>18</v>
      </c>
      <c r="B277" t="s">
        <v>74</v>
      </c>
      <c r="C277" t="s">
        <v>61</v>
      </c>
      <c r="D277" t="s">
        <v>14</v>
      </c>
      <c r="E277" t="s">
        <v>15</v>
      </c>
      <c r="F277" t="s">
        <v>16</v>
      </c>
      <c r="G277" s="6">
        <v>2024</v>
      </c>
      <c r="H277" s="2">
        <v>18178</v>
      </c>
      <c r="I277" s="2">
        <v>2662909.355351598</v>
      </c>
      <c r="J277" s="3">
        <f>IFERROR(I277/H277,"")</f>
        <v>146.49077760763549</v>
      </c>
      <c r="K277" s="4">
        <f>IFERROR(H277/I277,"")</f>
        <v>6.8263682965655666E-3</v>
      </c>
    </row>
    <row r="278" spans="1:11">
      <c r="A278" t="s">
        <v>11</v>
      </c>
      <c r="B278" t="s">
        <v>12</v>
      </c>
      <c r="C278" t="s">
        <v>13</v>
      </c>
      <c r="D278" t="s">
        <v>14</v>
      </c>
      <c r="E278" t="s">
        <v>15</v>
      </c>
      <c r="F278" t="s">
        <v>16</v>
      </c>
      <c r="G278" s="6" t="s">
        <v>82</v>
      </c>
      <c r="H278" s="2">
        <v>1933</v>
      </c>
      <c r="I278" s="2">
        <v>282955.12039845722</v>
      </c>
      <c r="J278" s="3">
        <f>IFERROR(I278/H278,"")</f>
        <v>146.38133491901564</v>
      </c>
      <c r="K278" s="4">
        <f>IFERROR(H278/I278,"")</f>
        <v>6.8314720627000872E-3</v>
      </c>
    </row>
    <row r="279" spans="1:11">
      <c r="A279" t="s">
        <v>17</v>
      </c>
      <c r="B279" t="s">
        <v>29</v>
      </c>
      <c r="C279" t="s">
        <v>30</v>
      </c>
      <c r="D279" t="s">
        <v>21</v>
      </c>
      <c r="E279" t="s">
        <v>15</v>
      </c>
      <c r="F279" t="s">
        <v>16</v>
      </c>
      <c r="G279" s="6" t="s">
        <v>82</v>
      </c>
      <c r="H279" s="2">
        <v>19179</v>
      </c>
      <c r="I279" s="2">
        <v>2807172.173331392</v>
      </c>
      <c r="J279" s="3">
        <f>IFERROR(I279/H279,"")</f>
        <v>146.36697290429075</v>
      </c>
      <c r="K279" s="4">
        <f>IFERROR(H279/I279,"")</f>
        <v>6.8321423894849515E-3</v>
      </c>
    </row>
    <row r="280" spans="1:11">
      <c r="A280" t="s">
        <v>19</v>
      </c>
      <c r="B280" t="s">
        <v>69</v>
      </c>
      <c r="C280" t="s">
        <v>40</v>
      </c>
      <c r="D280" t="s">
        <v>21</v>
      </c>
      <c r="E280" t="s">
        <v>15</v>
      </c>
      <c r="F280" t="s">
        <v>16</v>
      </c>
      <c r="G280" s="6">
        <v>2025</v>
      </c>
      <c r="H280" s="2">
        <v>1994</v>
      </c>
      <c r="I280" s="2">
        <v>291165.58057422482</v>
      </c>
      <c r="J280" s="3">
        <f>IFERROR(I280/H280,"")</f>
        <v>146.02085284564936</v>
      </c>
      <c r="K280" s="4">
        <f>IFERROR(H280/I280,"")</f>
        <v>6.8483369362117427E-3</v>
      </c>
    </row>
    <row r="281" spans="1:11">
      <c r="A281" t="s">
        <v>18</v>
      </c>
      <c r="B281" t="s">
        <v>71</v>
      </c>
      <c r="C281" t="s">
        <v>36</v>
      </c>
      <c r="D281" t="s">
        <v>14</v>
      </c>
      <c r="E281" t="s">
        <v>62</v>
      </c>
      <c r="F281" t="s">
        <v>26</v>
      </c>
      <c r="G281" s="6">
        <v>2024</v>
      </c>
      <c r="H281" s="2">
        <v>16680</v>
      </c>
      <c r="I281" s="2">
        <v>2425805.5441091382</v>
      </c>
      <c r="J281" s="3">
        <f>IFERROR(I281/H281,"")</f>
        <v>145.43198705690276</v>
      </c>
      <c r="K281" s="4">
        <f>IFERROR(H281/I281,"")</f>
        <v>6.8760664021508058E-3</v>
      </c>
    </row>
    <row r="282" spans="1:11">
      <c r="A282" t="s">
        <v>13</v>
      </c>
      <c r="B282" t="s">
        <v>24</v>
      </c>
      <c r="C282" t="s">
        <v>25</v>
      </c>
      <c r="D282" t="s">
        <v>14</v>
      </c>
      <c r="E282" t="s">
        <v>15</v>
      </c>
      <c r="F282" t="s">
        <v>26</v>
      </c>
      <c r="G282" s="6" t="s">
        <v>81</v>
      </c>
      <c r="H282" s="2">
        <v>5654</v>
      </c>
      <c r="I282" s="2">
        <v>821020.60522142297</v>
      </c>
      <c r="J282" s="3">
        <f>IFERROR(I282/H282,"")</f>
        <v>145.21057750644198</v>
      </c>
      <c r="K282" s="4">
        <f>IFERROR(H282/I282,"")</f>
        <v>6.8865506712528363E-3</v>
      </c>
    </row>
    <row r="283" spans="1:11">
      <c r="A283" t="s">
        <v>11</v>
      </c>
      <c r="B283" t="s">
        <v>56</v>
      </c>
      <c r="C283" t="s">
        <v>40</v>
      </c>
      <c r="D283" t="s">
        <v>21</v>
      </c>
      <c r="E283" t="s">
        <v>15</v>
      </c>
      <c r="F283" t="s">
        <v>16</v>
      </c>
      <c r="G283" s="6">
        <v>2024</v>
      </c>
      <c r="H283" s="2">
        <v>28371</v>
      </c>
      <c r="I283" s="2">
        <v>4118475.1969124218</v>
      </c>
      <c r="J283" s="3">
        <f>IFERROR(I283/H283,"")</f>
        <v>145.16496411520291</v>
      </c>
      <c r="K283" s="4">
        <f>IFERROR(H283/I283,"")</f>
        <v>6.8887145468957646E-3</v>
      </c>
    </row>
    <row r="284" spans="1:11">
      <c r="A284" t="s">
        <v>11</v>
      </c>
      <c r="B284" t="s">
        <v>12</v>
      </c>
      <c r="C284" t="s">
        <v>13</v>
      </c>
      <c r="D284" t="s">
        <v>14</v>
      </c>
      <c r="E284" t="s">
        <v>15</v>
      </c>
      <c r="F284" t="s">
        <v>16</v>
      </c>
      <c r="G284" s="6">
        <v>2025</v>
      </c>
      <c r="H284" s="2">
        <v>6202</v>
      </c>
      <c r="I284" s="2">
        <v>890496.50322679791</v>
      </c>
      <c r="J284" s="3">
        <f>IFERROR(I284/H284,"")</f>
        <v>143.5821514393418</v>
      </c>
      <c r="K284" s="4">
        <f>IFERROR(H284/I284,"")</f>
        <v>6.9646539627347993E-3</v>
      </c>
    </row>
    <row r="285" spans="1:11">
      <c r="A285" t="s">
        <v>17</v>
      </c>
      <c r="B285" t="s">
        <v>72</v>
      </c>
      <c r="C285" t="s">
        <v>40</v>
      </c>
      <c r="D285" t="s">
        <v>21</v>
      </c>
      <c r="E285" t="s">
        <v>15</v>
      </c>
      <c r="F285" t="s">
        <v>16</v>
      </c>
      <c r="G285" s="6" t="s">
        <v>82</v>
      </c>
      <c r="H285" s="2">
        <v>21218</v>
      </c>
      <c r="I285" s="2">
        <v>3008468.3767664777</v>
      </c>
      <c r="J285" s="3">
        <f>IFERROR(I285/H285,"")</f>
        <v>141.78849923491742</v>
      </c>
      <c r="K285" s="4">
        <f>IFERROR(H285/I285,"")</f>
        <v>7.0527581954526811E-3</v>
      </c>
    </row>
    <row r="286" spans="1:11">
      <c r="A286" t="s">
        <v>11</v>
      </c>
      <c r="B286" t="s">
        <v>71</v>
      </c>
      <c r="C286" t="s">
        <v>36</v>
      </c>
      <c r="D286" t="s">
        <v>14</v>
      </c>
      <c r="E286" t="s">
        <v>62</v>
      </c>
      <c r="F286" t="s">
        <v>26</v>
      </c>
      <c r="G286" s="6" t="s">
        <v>81</v>
      </c>
      <c r="H286" s="2">
        <v>7556</v>
      </c>
      <c r="I286" s="2">
        <v>1066130.286278497</v>
      </c>
      <c r="J286" s="3">
        <f>IFERROR(I286/H286,"")</f>
        <v>141.09717923219918</v>
      </c>
      <c r="K286" s="4">
        <f>IFERROR(H286/I286,"")</f>
        <v>7.0873139026708075E-3</v>
      </c>
    </row>
    <row r="287" spans="1:11">
      <c r="A287" t="s">
        <v>18</v>
      </c>
      <c r="B287" t="s">
        <v>54</v>
      </c>
      <c r="C287" t="s">
        <v>25</v>
      </c>
      <c r="D287" t="s">
        <v>21</v>
      </c>
      <c r="E287" t="s">
        <v>15</v>
      </c>
      <c r="F287" t="s">
        <v>26</v>
      </c>
      <c r="G287" s="6">
        <v>2025</v>
      </c>
      <c r="H287" s="2">
        <v>45163</v>
      </c>
      <c r="I287" s="2">
        <v>6371000</v>
      </c>
      <c r="J287" s="3">
        <f>IFERROR(I287/H287,"")</f>
        <v>141.0668024710493</v>
      </c>
      <c r="K287" s="4">
        <f>IFERROR(H287/I287,"")</f>
        <v>7.0888400565060428E-3</v>
      </c>
    </row>
    <row r="288" spans="1:11">
      <c r="A288" t="s">
        <v>19</v>
      </c>
      <c r="B288" t="s">
        <v>69</v>
      </c>
      <c r="C288" t="s">
        <v>40</v>
      </c>
      <c r="D288" t="s">
        <v>21</v>
      </c>
      <c r="E288" t="s">
        <v>15</v>
      </c>
      <c r="F288" t="s">
        <v>16</v>
      </c>
      <c r="G288" s="6">
        <v>2024</v>
      </c>
      <c r="H288" s="2">
        <v>2419</v>
      </c>
      <c r="I288" s="2">
        <v>340347.3890179951</v>
      </c>
      <c r="J288" s="3">
        <f>IFERROR(I288/H288,"")</f>
        <v>140.6975564357152</v>
      </c>
      <c r="K288" s="4">
        <f>IFERROR(H288/I288,"")</f>
        <v>7.1074439765192402E-3</v>
      </c>
    </row>
    <row r="289" spans="1:11">
      <c r="A289" t="s">
        <v>11</v>
      </c>
      <c r="B289" t="s">
        <v>68</v>
      </c>
      <c r="C289" t="s">
        <v>17</v>
      </c>
      <c r="D289" t="s">
        <v>21</v>
      </c>
      <c r="E289" t="s">
        <v>15</v>
      </c>
      <c r="F289" t="s">
        <v>16</v>
      </c>
      <c r="G289" s="6">
        <v>2025</v>
      </c>
      <c r="H289" s="2">
        <v>929</v>
      </c>
      <c r="I289" s="2">
        <v>130121.83715553321</v>
      </c>
      <c r="J289" s="3">
        <f>IFERROR(I289/H289,"")</f>
        <v>140.06656313835651</v>
      </c>
      <c r="K289" s="4">
        <f>IFERROR(H289/I289,"")</f>
        <v>7.1394626782711069E-3</v>
      </c>
    </row>
    <row r="290" spans="1:11">
      <c r="A290" t="s">
        <v>19</v>
      </c>
      <c r="B290" t="s">
        <v>63</v>
      </c>
      <c r="C290" t="s">
        <v>17</v>
      </c>
      <c r="D290" t="s">
        <v>33</v>
      </c>
      <c r="E290" t="s">
        <v>15</v>
      </c>
      <c r="F290" t="s">
        <v>16</v>
      </c>
      <c r="G290" s="6" t="s">
        <v>81</v>
      </c>
      <c r="H290" s="2">
        <v>6556</v>
      </c>
      <c r="I290" s="2">
        <v>918104.26066937903</v>
      </c>
      <c r="J290" s="3">
        <f>IFERROR(I290/H290,"")</f>
        <v>140.04030821680584</v>
      </c>
      <c r="K290" s="4">
        <f>IFERROR(H290/I290,"")</f>
        <v>7.1408011931238585E-3</v>
      </c>
    </row>
    <row r="291" spans="1:11">
      <c r="A291" t="s">
        <v>18</v>
      </c>
      <c r="B291" t="s">
        <v>44</v>
      </c>
      <c r="C291" t="s">
        <v>36</v>
      </c>
      <c r="D291" t="s">
        <v>21</v>
      </c>
      <c r="E291" t="s">
        <v>15</v>
      </c>
      <c r="F291" t="s">
        <v>16</v>
      </c>
      <c r="G291" s="6" t="s">
        <v>81</v>
      </c>
      <c r="H291" s="2">
        <v>3693</v>
      </c>
      <c r="I291" s="2">
        <v>516319.67921772401</v>
      </c>
      <c r="J291" s="3">
        <f>IFERROR(I291/H291,"")</f>
        <v>139.81036534463146</v>
      </c>
      <c r="K291" s="4">
        <f>IFERROR(H291/I291,"")</f>
        <v>7.1525455035827117E-3</v>
      </c>
    </row>
    <row r="292" spans="1:11">
      <c r="A292" t="s">
        <v>17</v>
      </c>
      <c r="B292" t="s">
        <v>12</v>
      </c>
      <c r="C292" t="s">
        <v>13</v>
      </c>
      <c r="D292" t="s">
        <v>14</v>
      </c>
      <c r="E292" t="s">
        <v>15</v>
      </c>
      <c r="F292" t="s">
        <v>16</v>
      </c>
      <c r="G292" s="6">
        <v>2024</v>
      </c>
      <c r="H292" s="2">
        <v>6098</v>
      </c>
      <c r="I292" s="2">
        <v>850295.6282471295</v>
      </c>
      <c r="J292" s="3">
        <f>IFERROR(I292/H292,"")</f>
        <v>139.4384434645998</v>
      </c>
      <c r="K292" s="4">
        <f>IFERROR(H292/I292,"")</f>
        <v>7.1716233712396322E-3</v>
      </c>
    </row>
    <row r="293" spans="1:11">
      <c r="A293" t="s">
        <v>19</v>
      </c>
      <c r="B293" t="s">
        <v>60</v>
      </c>
      <c r="C293" t="s">
        <v>61</v>
      </c>
      <c r="D293" t="s">
        <v>14</v>
      </c>
      <c r="E293" t="s">
        <v>62</v>
      </c>
      <c r="F293" t="s">
        <v>16</v>
      </c>
      <c r="G293" s="6" t="s">
        <v>81</v>
      </c>
      <c r="H293" s="2">
        <v>4554</v>
      </c>
      <c r="I293" s="2">
        <v>632901.60459050199</v>
      </c>
      <c r="J293" s="3">
        <f>IFERROR(I293/H293,"")</f>
        <v>138.9770761068296</v>
      </c>
      <c r="K293" s="4">
        <f>IFERROR(H293/I293,"")</f>
        <v>7.1954312755242809E-3</v>
      </c>
    </row>
    <row r="294" spans="1:11">
      <c r="A294" t="s">
        <v>13</v>
      </c>
      <c r="B294" t="s">
        <v>65</v>
      </c>
      <c r="C294" t="s">
        <v>18</v>
      </c>
      <c r="D294" t="s">
        <v>21</v>
      </c>
      <c r="E294" t="s">
        <v>15</v>
      </c>
      <c r="F294" t="s">
        <v>16</v>
      </c>
      <c r="G294" s="6">
        <v>2024</v>
      </c>
      <c r="H294" s="2">
        <v>11523</v>
      </c>
      <c r="I294" s="2">
        <v>1597962.9574223661</v>
      </c>
      <c r="J294" s="3">
        <f>IFERROR(I294/H294,"")</f>
        <v>138.67594874792729</v>
      </c>
      <c r="K294" s="4">
        <f>IFERROR(H294/I294,"")</f>
        <v>7.2110557672672602E-3</v>
      </c>
    </row>
    <row r="295" spans="1:11">
      <c r="A295" t="s">
        <v>19</v>
      </c>
      <c r="B295" t="s">
        <v>34</v>
      </c>
      <c r="C295" t="s">
        <v>13</v>
      </c>
      <c r="D295" t="s">
        <v>21</v>
      </c>
      <c r="E295" t="s">
        <v>15</v>
      </c>
      <c r="F295" t="s">
        <v>16</v>
      </c>
      <c r="G295" s="6" t="s">
        <v>82</v>
      </c>
      <c r="H295" s="2">
        <v>2320</v>
      </c>
      <c r="I295" s="2">
        <v>321209.89222218451</v>
      </c>
      <c r="J295" s="3">
        <f>IFERROR(I295/H295,"")</f>
        <v>138.45253975094161</v>
      </c>
      <c r="K295" s="4">
        <f>IFERROR(H295/I295,"")</f>
        <v>7.2226916299178911E-3</v>
      </c>
    </row>
    <row r="296" spans="1:11">
      <c r="A296" t="s">
        <v>13</v>
      </c>
      <c r="B296" t="s">
        <v>31</v>
      </c>
      <c r="C296" t="s">
        <v>11</v>
      </c>
      <c r="D296" t="s">
        <v>21</v>
      </c>
      <c r="E296" t="s">
        <v>15</v>
      </c>
      <c r="F296" t="s">
        <v>16</v>
      </c>
      <c r="G296" s="6" t="s">
        <v>81</v>
      </c>
      <c r="H296" s="2">
        <v>1909</v>
      </c>
      <c r="I296" s="2">
        <v>262290.6242912325</v>
      </c>
      <c r="J296" s="3">
        <f>IFERROR(I296/H296,"")</f>
        <v>137.39686971777502</v>
      </c>
      <c r="K296" s="4">
        <f>IFERROR(H296/I296,"")</f>
        <v>7.2781861919713744E-3</v>
      </c>
    </row>
    <row r="297" spans="1:11">
      <c r="A297" t="s">
        <v>13</v>
      </c>
      <c r="B297" t="s">
        <v>74</v>
      </c>
      <c r="C297" t="s">
        <v>61</v>
      </c>
      <c r="D297" t="s">
        <v>14</v>
      </c>
      <c r="E297" t="s">
        <v>15</v>
      </c>
      <c r="F297" t="s">
        <v>16</v>
      </c>
      <c r="G297" s="6">
        <v>2025</v>
      </c>
      <c r="H297" s="2">
        <v>14034</v>
      </c>
      <c r="I297" s="2">
        <v>1925461.289099792</v>
      </c>
      <c r="J297" s="3">
        <f>IFERROR(I297/H297,"")</f>
        <v>137.19974982897193</v>
      </c>
      <c r="K297" s="4">
        <f>IFERROR(H297/I297,"")</f>
        <v>7.2886430277501425E-3</v>
      </c>
    </row>
    <row r="298" spans="1:11">
      <c r="A298" t="s">
        <v>19</v>
      </c>
      <c r="B298" t="s">
        <v>20</v>
      </c>
      <c r="C298" t="s">
        <v>11</v>
      </c>
      <c r="D298" t="s">
        <v>21</v>
      </c>
      <c r="E298" t="s">
        <v>15</v>
      </c>
      <c r="F298" t="s">
        <v>16</v>
      </c>
      <c r="G298" s="6" t="s">
        <v>82</v>
      </c>
      <c r="H298" s="2">
        <v>1085</v>
      </c>
      <c r="I298" s="2">
        <v>147472.5100298273</v>
      </c>
      <c r="J298" s="3">
        <f>IFERROR(I298/H298,"")</f>
        <v>135.91936408279014</v>
      </c>
      <c r="K298" s="4">
        <f>IFERROR(H298/I298,"")</f>
        <v>7.357303403736408E-3</v>
      </c>
    </row>
    <row r="299" spans="1:11">
      <c r="A299" t="s">
        <v>19</v>
      </c>
      <c r="B299" t="s">
        <v>49</v>
      </c>
      <c r="C299" t="s">
        <v>40</v>
      </c>
      <c r="D299" t="s">
        <v>14</v>
      </c>
      <c r="E299" t="s">
        <v>15</v>
      </c>
      <c r="F299" t="s">
        <v>16</v>
      </c>
      <c r="G299" s="6">
        <v>2025</v>
      </c>
      <c r="H299" s="2">
        <v>15357</v>
      </c>
      <c r="I299" s="2">
        <v>2078612.7235562261</v>
      </c>
      <c r="J299" s="3">
        <f>IFERROR(I299/H299,"")</f>
        <v>135.35278528073363</v>
      </c>
      <c r="K299" s="4">
        <f>IFERROR(H299/I299,"")</f>
        <v>7.3881006432628023E-3</v>
      </c>
    </row>
    <row r="300" spans="1:11">
      <c r="A300" t="s">
        <v>17</v>
      </c>
      <c r="B300" t="s">
        <v>48</v>
      </c>
      <c r="C300" t="s">
        <v>43</v>
      </c>
      <c r="D300" t="s">
        <v>14</v>
      </c>
      <c r="E300" t="s">
        <v>15</v>
      </c>
      <c r="F300" t="s">
        <v>16</v>
      </c>
      <c r="G300" s="6" t="s">
        <v>81</v>
      </c>
      <c r="H300" s="2">
        <v>4723</v>
      </c>
      <c r="I300" s="2">
        <v>638481.13659892103</v>
      </c>
      <c r="J300" s="3">
        <f>IFERROR(I300/H300,"")</f>
        <v>135.18550425554119</v>
      </c>
      <c r="K300" s="4">
        <f>IFERROR(H300/I300,"")</f>
        <v>7.3972428146563685E-3</v>
      </c>
    </row>
    <row r="301" spans="1:11">
      <c r="A301" t="s">
        <v>11</v>
      </c>
      <c r="B301" t="s">
        <v>23</v>
      </c>
      <c r="C301" t="s">
        <v>17</v>
      </c>
      <c r="D301" t="s">
        <v>14</v>
      </c>
      <c r="E301" t="s">
        <v>15</v>
      </c>
      <c r="F301" t="s">
        <v>16</v>
      </c>
      <c r="G301" s="6" t="s">
        <v>81</v>
      </c>
      <c r="H301" s="2">
        <v>19229</v>
      </c>
      <c r="I301" s="2">
        <v>2593169.469088709</v>
      </c>
      <c r="J301" s="3">
        <f>IFERROR(I301/H301,"")</f>
        <v>134.8572192567845</v>
      </c>
      <c r="K301" s="4">
        <f>IFERROR(H301/I301,"")</f>
        <v>7.4152500363801714E-3</v>
      </c>
    </row>
    <row r="302" spans="1:11">
      <c r="A302" t="s">
        <v>19</v>
      </c>
      <c r="B302" t="s">
        <v>63</v>
      </c>
      <c r="C302" t="s">
        <v>17</v>
      </c>
      <c r="D302" t="s">
        <v>33</v>
      </c>
      <c r="E302" t="s">
        <v>15</v>
      </c>
      <c r="F302" t="s">
        <v>16</v>
      </c>
      <c r="G302" s="6">
        <v>2024</v>
      </c>
      <c r="H302" s="2">
        <v>20000</v>
      </c>
      <c r="I302" s="2">
        <v>2695786.2331569041</v>
      </c>
      <c r="J302" s="3">
        <f>IFERROR(I302/H302,"")</f>
        <v>134.78931165784522</v>
      </c>
      <c r="K302" s="4">
        <f>IFERROR(H302/I302,"")</f>
        <v>7.4189858802635742E-3</v>
      </c>
    </row>
    <row r="303" spans="1:11">
      <c r="A303" t="s">
        <v>18</v>
      </c>
      <c r="B303" t="s">
        <v>68</v>
      </c>
      <c r="C303" t="s">
        <v>17</v>
      </c>
      <c r="D303" t="s">
        <v>21</v>
      </c>
      <c r="E303" t="s">
        <v>15</v>
      </c>
      <c r="F303" t="s">
        <v>16</v>
      </c>
      <c r="G303" s="6">
        <v>2025</v>
      </c>
      <c r="H303" s="2">
        <v>618</v>
      </c>
      <c r="I303" s="2">
        <v>83251.729265763235</v>
      </c>
      <c r="J303" s="3">
        <f>IFERROR(I303/H303,"")</f>
        <v>134.7115360287431</v>
      </c>
      <c r="K303" s="4">
        <f>IFERROR(H303/I303,"")</f>
        <v>7.4232692275636456E-3</v>
      </c>
    </row>
    <row r="304" spans="1:11">
      <c r="A304" t="s">
        <v>19</v>
      </c>
      <c r="B304" t="s">
        <v>68</v>
      </c>
      <c r="C304" t="s">
        <v>17</v>
      </c>
      <c r="D304" t="s">
        <v>21</v>
      </c>
      <c r="E304" t="s">
        <v>15</v>
      </c>
      <c r="F304" t="s">
        <v>16</v>
      </c>
      <c r="G304" s="6" t="s">
        <v>82</v>
      </c>
      <c r="H304" s="2">
        <v>740</v>
      </c>
      <c r="I304" s="2">
        <v>99399.535352606588</v>
      </c>
      <c r="J304" s="3">
        <f>IFERROR(I304/H304,"")</f>
        <v>134.32369642244134</v>
      </c>
      <c r="K304" s="4">
        <f>IFERROR(H304/I304,"")</f>
        <v>7.4447028084683566E-3</v>
      </c>
    </row>
    <row r="305" spans="1:11">
      <c r="A305" t="s">
        <v>17</v>
      </c>
      <c r="B305" t="s">
        <v>71</v>
      </c>
      <c r="C305" t="s">
        <v>36</v>
      </c>
      <c r="D305" t="s">
        <v>14</v>
      </c>
      <c r="E305" t="s">
        <v>62</v>
      </c>
      <c r="F305" t="s">
        <v>26</v>
      </c>
      <c r="G305" s="6">
        <v>2024</v>
      </c>
      <c r="H305" s="2">
        <v>37574</v>
      </c>
      <c r="I305" s="2">
        <v>5035080.6286712186</v>
      </c>
      <c r="J305" s="3">
        <f>IFERROR(I305/H305,"")</f>
        <v>134.00438145183421</v>
      </c>
      <c r="K305" s="4">
        <f>IFERROR(H305/I305,"")</f>
        <v>7.4624425646816215E-3</v>
      </c>
    </row>
    <row r="306" spans="1:11">
      <c r="A306" t="s">
        <v>19</v>
      </c>
      <c r="B306" t="s">
        <v>49</v>
      </c>
      <c r="C306" t="s">
        <v>40</v>
      </c>
      <c r="D306" t="s">
        <v>14</v>
      </c>
      <c r="E306" t="s">
        <v>15</v>
      </c>
      <c r="F306" t="s">
        <v>16</v>
      </c>
      <c r="G306" s="6" t="s">
        <v>81</v>
      </c>
      <c r="H306" s="2">
        <v>5447</v>
      </c>
      <c r="I306" s="2">
        <v>726918.00471191399</v>
      </c>
      <c r="J306" s="3">
        <f>IFERROR(I306/H306,"")</f>
        <v>133.45291072368533</v>
      </c>
      <c r="K306" s="4">
        <f>IFERROR(H306/I306,"")</f>
        <v>7.4932797986737298E-3</v>
      </c>
    </row>
    <row r="307" spans="1:11">
      <c r="A307" t="s">
        <v>19</v>
      </c>
      <c r="B307" t="s">
        <v>45</v>
      </c>
      <c r="C307" t="s">
        <v>38</v>
      </c>
      <c r="D307" t="s">
        <v>21</v>
      </c>
      <c r="E307" t="s">
        <v>15</v>
      </c>
      <c r="F307" t="s">
        <v>16</v>
      </c>
      <c r="G307" s="6" t="s">
        <v>81</v>
      </c>
      <c r="H307" s="2">
        <v>585</v>
      </c>
      <c r="I307" s="2">
        <v>77934.802917733512</v>
      </c>
      <c r="J307" s="3">
        <f>IFERROR(I307/H307,"")</f>
        <v>133.22188532945898</v>
      </c>
      <c r="K307" s="4">
        <f>IFERROR(H307/I307,"")</f>
        <v>7.5062741945663841E-3</v>
      </c>
    </row>
    <row r="308" spans="1:11">
      <c r="A308" t="s">
        <v>17</v>
      </c>
      <c r="B308" t="s">
        <v>70</v>
      </c>
      <c r="C308" t="s">
        <v>40</v>
      </c>
      <c r="D308" t="s">
        <v>21</v>
      </c>
      <c r="E308" t="s">
        <v>15</v>
      </c>
      <c r="F308" t="s">
        <v>16</v>
      </c>
      <c r="G308" s="6">
        <v>2024</v>
      </c>
      <c r="H308" s="2">
        <v>25566</v>
      </c>
      <c r="I308" s="2">
        <v>3404472.0525568258</v>
      </c>
      <c r="J308" s="3">
        <f>IFERROR(I308/H308,"")</f>
        <v>133.16404805432316</v>
      </c>
      <c r="K308" s="4">
        <f>IFERROR(H308/I308,"")</f>
        <v>7.5095344021988454E-3</v>
      </c>
    </row>
    <row r="309" spans="1:11">
      <c r="A309" t="s">
        <v>11</v>
      </c>
      <c r="B309" t="s">
        <v>22</v>
      </c>
      <c r="C309" t="s">
        <v>17</v>
      </c>
      <c r="D309" t="s">
        <v>14</v>
      </c>
      <c r="E309" t="s">
        <v>15</v>
      </c>
      <c r="F309" t="s">
        <v>16</v>
      </c>
      <c r="G309" s="6" t="s">
        <v>82</v>
      </c>
      <c r="H309" s="2">
        <v>15205</v>
      </c>
      <c r="I309" s="2">
        <v>1983894.088481986</v>
      </c>
      <c r="J309" s="3">
        <f>IFERROR(I309/H309,"")</f>
        <v>130.47642804879882</v>
      </c>
      <c r="K309" s="4">
        <f>IFERROR(H309/I309,"")</f>
        <v>7.6642196215395714E-3</v>
      </c>
    </row>
    <row r="310" spans="1:11">
      <c r="A310" t="s">
        <v>13</v>
      </c>
      <c r="B310" t="s">
        <v>41</v>
      </c>
      <c r="C310" t="s">
        <v>38</v>
      </c>
      <c r="D310" t="s">
        <v>21</v>
      </c>
      <c r="E310" t="s">
        <v>15</v>
      </c>
      <c r="F310" t="s">
        <v>16</v>
      </c>
      <c r="G310" s="6">
        <v>2025</v>
      </c>
      <c r="H310" s="2">
        <v>46720</v>
      </c>
      <c r="I310" s="2">
        <v>6081636.1188551141</v>
      </c>
      <c r="J310" s="3">
        <f>IFERROR(I310/H310,"")</f>
        <v>130.17200596864541</v>
      </c>
      <c r="K310" s="4">
        <f>IFERROR(H310/I310,"")</f>
        <v>7.6821432731156523E-3</v>
      </c>
    </row>
    <row r="311" spans="1:11">
      <c r="A311" t="s">
        <v>11</v>
      </c>
      <c r="B311" t="s">
        <v>20</v>
      </c>
      <c r="C311" t="s">
        <v>11</v>
      </c>
      <c r="D311" t="s">
        <v>21</v>
      </c>
      <c r="E311" t="s">
        <v>15</v>
      </c>
      <c r="F311" t="s">
        <v>16</v>
      </c>
      <c r="G311" s="6" t="s">
        <v>81</v>
      </c>
      <c r="H311" s="2">
        <v>2041</v>
      </c>
      <c r="I311" s="2">
        <v>262831.68559050839</v>
      </c>
      <c r="J311" s="3">
        <f>IFERROR(I311/H311,"")</f>
        <v>128.77593610509965</v>
      </c>
      <c r="K311" s="4">
        <f>IFERROR(H311/I311,"")</f>
        <v>7.7654259813250857E-3</v>
      </c>
    </row>
    <row r="312" spans="1:11">
      <c r="A312" t="s">
        <v>18</v>
      </c>
      <c r="B312" t="s">
        <v>52</v>
      </c>
      <c r="C312" t="s">
        <v>40</v>
      </c>
      <c r="D312" t="s">
        <v>21</v>
      </c>
      <c r="E312" t="s">
        <v>15</v>
      </c>
      <c r="F312" t="s">
        <v>16</v>
      </c>
      <c r="G312" s="6">
        <v>2025</v>
      </c>
      <c r="H312" s="2">
        <v>19003</v>
      </c>
      <c r="I312" s="2">
        <v>2440856.0441425312</v>
      </c>
      <c r="J312" s="3">
        <f>IFERROR(I312/H312,"")</f>
        <v>128.44582666644905</v>
      </c>
      <c r="K312" s="4">
        <f>IFERROR(H312/I312,"")</f>
        <v>7.7853833476179968E-3</v>
      </c>
    </row>
    <row r="313" spans="1:11">
      <c r="A313" t="s">
        <v>17</v>
      </c>
      <c r="B313" t="s">
        <v>12</v>
      </c>
      <c r="C313" t="s">
        <v>13</v>
      </c>
      <c r="D313" t="s">
        <v>14</v>
      </c>
      <c r="E313" t="s">
        <v>15</v>
      </c>
      <c r="F313" t="s">
        <v>16</v>
      </c>
      <c r="G313" s="6" t="s">
        <v>81</v>
      </c>
      <c r="H313" s="2">
        <v>2594</v>
      </c>
      <c r="I313" s="2">
        <v>330750.23201217881</v>
      </c>
      <c r="J313" s="3">
        <f>IFERROR(I313/H313,"")</f>
        <v>127.50587201703115</v>
      </c>
      <c r="K313" s="4">
        <f>IFERROR(H313/I313,"")</f>
        <v>7.8427760555720011E-3</v>
      </c>
    </row>
    <row r="314" spans="1:11">
      <c r="A314" t="s">
        <v>17</v>
      </c>
      <c r="B314" t="s">
        <v>12</v>
      </c>
      <c r="C314" t="s">
        <v>13</v>
      </c>
      <c r="D314" t="s">
        <v>14</v>
      </c>
      <c r="E314" t="s">
        <v>15</v>
      </c>
      <c r="F314" t="s">
        <v>16</v>
      </c>
      <c r="G314" s="6">
        <v>2025</v>
      </c>
      <c r="H314" s="2">
        <v>7346</v>
      </c>
      <c r="I314" s="2">
        <v>934287.80347986985</v>
      </c>
      <c r="J314" s="3">
        <f>IFERROR(I314/H314,"")</f>
        <v>127.18320221615436</v>
      </c>
      <c r="K314" s="4">
        <f>IFERROR(H314/I314,"")</f>
        <v>7.8626735494554453E-3</v>
      </c>
    </row>
    <row r="315" spans="1:11">
      <c r="A315" t="s">
        <v>11</v>
      </c>
      <c r="B315" t="s">
        <v>46</v>
      </c>
      <c r="C315" t="s">
        <v>38</v>
      </c>
      <c r="D315" t="s">
        <v>21</v>
      </c>
      <c r="E315" t="s">
        <v>15</v>
      </c>
      <c r="F315" t="s">
        <v>16</v>
      </c>
      <c r="G315" s="6">
        <v>2025</v>
      </c>
      <c r="H315" s="2">
        <v>33988</v>
      </c>
      <c r="I315" s="2">
        <v>4317099.407765232</v>
      </c>
      <c r="J315" s="3">
        <f>IFERROR(I315/H315,"")</f>
        <v>127.01834199615253</v>
      </c>
      <c r="K315" s="4">
        <f>IFERROR(H315/I315,"")</f>
        <v>7.8728787062130809E-3</v>
      </c>
    </row>
    <row r="316" spans="1:11">
      <c r="A316" t="s">
        <v>18</v>
      </c>
      <c r="B316" t="s">
        <v>35</v>
      </c>
      <c r="C316" t="s">
        <v>36</v>
      </c>
      <c r="D316" t="s">
        <v>21</v>
      </c>
      <c r="E316" t="s">
        <v>15</v>
      </c>
      <c r="F316" t="s">
        <v>16</v>
      </c>
      <c r="G316" s="6">
        <v>2025</v>
      </c>
      <c r="H316" s="2">
        <v>29065</v>
      </c>
      <c r="I316" s="2">
        <v>3688708.9725775169</v>
      </c>
      <c r="J316" s="3">
        <f>IFERROR(I316/H316,"")</f>
        <v>126.91240229064225</v>
      </c>
      <c r="K316" s="4">
        <f>IFERROR(H316/I316,"")</f>
        <v>7.8794505655160382E-3</v>
      </c>
    </row>
    <row r="317" spans="1:11">
      <c r="A317" t="s">
        <v>18</v>
      </c>
      <c r="B317" t="s">
        <v>24</v>
      </c>
      <c r="C317" t="s">
        <v>25</v>
      </c>
      <c r="D317" t="s">
        <v>14</v>
      </c>
      <c r="E317" t="s">
        <v>15</v>
      </c>
      <c r="F317" t="s">
        <v>26</v>
      </c>
      <c r="G317" s="6" t="s">
        <v>81</v>
      </c>
      <c r="H317" s="2">
        <v>5354</v>
      </c>
      <c r="I317" s="2">
        <v>679388.12079782598</v>
      </c>
      <c r="J317" s="3">
        <f>IFERROR(I317/H317,"")</f>
        <v>126.89356010418864</v>
      </c>
      <c r="K317" s="4">
        <f>IFERROR(H317/I317,"")</f>
        <v>7.8806205703341355E-3</v>
      </c>
    </row>
    <row r="318" spans="1:11">
      <c r="A318" t="s">
        <v>19</v>
      </c>
      <c r="B318" t="s">
        <v>49</v>
      </c>
      <c r="C318" t="s">
        <v>40</v>
      </c>
      <c r="D318" t="s">
        <v>14</v>
      </c>
      <c r="E318" t="s">
        <v>15</v>
      </c>
      <c r="F318" t="s">
        <v>16</v>
      </c>
      <c r="G318" s="6">
        <v>2024</v>
      </c>
      <c r="H318" s="2">
        <v>16651</v>
      </c>
      <c r="I318" s="2">
        <v>2109759.859078919</v>
      </c>
      <c r="J318" s="3">
        <f>IFERROR(I318/H318,"")</f>
        <v>126.70469395705477</v>
      </c>
      <c r="K318" s="4">
        <f>IFERROR(H318/I318,"")</f>
        <v>7.892367431461848E-3</v>
      </c>
    </row>
    <row r="319" spans="1:11">
      <c r="A319" t="s">
        <v>18</v>
      </c>
      <c r="B319" t="s">
        <v>52</v>
      </c>
      <c r="C319" t="s">
        <v>40</v>
      </c>
      <c r="D319" t="s">
        <v>21</v>
      </c>
      <c r="E319" t="s">
        <v>15</v>
      </c>
      <c r="F319" t="s">
        <v>16</v>
      </c>
      <c r="G319" s="6" t="s">
        <v>81</v>
      </c>
      <c r="H319" s="2">
        <v>6499</v>
      </c>
      <c r="I319" s="2">
        <v>822266.75184210797</v>
      </c>
      <c r="J319" s="3">
        <f>IFERROR(I319/H319,"")</f>
        <v>126.52204213603754</v>
      </c>
      <c r="K319" s="4">
        <f>IFERROR(H319/I319,"")</f>
        <v>7.9037611400928215E-3</v>
      </c>
    </row>
    <row r="320" spans="1:11">
      <c r="A320" t="s">
        <v>19</v>
      </c>
      <c r="B320" t="s">
        <v>49</v>
      </c>
      <c r="C320" t="s">
        <v>40</v>
      </c>
      <c r="D320" t="s">
        <v>14</v>
      </c>
      <c r="E320" t="s">
        <v>15</v>
      </c>
      <c r="F320" t="s">
        <v>16</v>
      </c>
      <c r="G320" s="6" t="s">
        <v>82</v>
      </c>
      <c r="H320" s="2">
        <v>5223</v>
      </c>
      <c r="I320" s="2">
        <v>656561.22330156993</v>
      </c>
      <c r="J320" s="3">
        <f>IFERROR(I320/H320,"")</f>
        <v>125.70576743281063</v>
      </c>
      <c r="K320" s="4">
        <f>IFERROR(H320/I320,"")</f>
        <v>7.9550844835699127E-3</v>
      </c>
    </row>
    <row r="321" spans="1:11">
      <c r="A321" t="s">
        <v>13</v>
      </c>
      <c r="B321" t="s">
        <v>41</v>
      </c>
      <c r="C321" t="s">
        <v>38</v>
      </c>
      <c r="D321" t="s">
        <v>21</v>
      </c>
      <c r="E321" t="s">
        <v>15</v>
      </c>
      <c r="F321" t="s">
        <v>16</v>
      </c>
      <c r="G321" s="6" t="s">
        <v>82</v>
      </c>
      <c r="H321" s="2">
        <v>13196</v>
      </c>
      <c r="I321" s="2">
        <v>1657601.1535468111</v>
      </c>
      <c r="J321" s="3">
        <f>IFERROR(I321/H321,"")</f>
        <v>125.61390978681503</v>
      </c>
      <c r="K321" s="4">
        <f>IFERROR(H321/I321,"")</f>
        <v>7.9609017958054539E-3</v>
      </c>
    </row>
    <row r="322" spans="1:11">
      <c r="A322" t="s">
        <v>13</v>
      </c>
      <c r="B322" t="s">
        <v>52</v>
      </c>
      <c r="C322" t="s">
        <v>40</v>
      </c>
      <c r="D322" t="s">
        <v>21</v>
      </c>
      <c r="E322" t="s">
        <v>15</v>
      </c>
      <c r="F322" t="s">
        <v>16</v>
      </c>
      <c r="G322" s="6">
        <v>2024</v>
      </c>
      <c r="H322" s="2">
        <v>14217</v>
      </c>
      <c r="I322" s="2">
        <v>1783063.0746780219</v>
      </c>
      <c r="J322" s="3">
        <f>IFERROR(I322/H322,"")</f>
        <v>125.41767424055863</v>
      </c>
      <c r="K322" s="4">
        <f>IFERROR(H322/I322,"")</f>
        <v>7.9733578704540477E-3</v>
      </c>
    </row>
    <row r="323" spans="1:11">
      <c r="A323" t="s">
        <v>11</v>
      </c>
      <c r="B323" t="s">
        <v>35</v>
      </c>
      <c r="C323" t="s">
        <v>36</v>
      </c>
      <c r="D323" t="s">
        <v>21</v>
      </c>
      <c r="E323" t="s">
        <v>15</v>
      </c>
      <c r="F323" t="s">
        <v>16</v>
      </c>
      <c r="G323" s="6" t="s">
        <v>82</v>
      </c>
      <c r="H323" s="2">
        <v>10824</v>
      </c>
      <c r="I323" s="2">
        <v>1353779.997019378</v>
      </c>
      <c r="J323" s="3">
        <f>IFERROR(I323/H323,"")</f>
        <v>125.07206180888562</v>
      </c>
      <c r="K323" s="4">
        <f>IFERROR(H323/I323,"")</f>
        <v>7.9953907014664403E-3</v>
      </c>
    </row>
    <row r="324" spans="1:11">
      <c r="A324" t="s">
        <v>11</v>
      </c>
      <c r="B324" t="s">
        <v>53</v>
      </c>
      <c r="C324" t="s">
        <v>17</v>
      </c>
      <c r="D324" t="s">
        <v>14</v>
      </c>
      <c r="E324" t="s">
        <v>15</v>
      </c>
      <c r="F324" t="s">
        <v>16</v>
      </c>
      <c r="G324" s="6" t="s">
        <v>81</v>
      </c>
      <c r="H324" s="2">
        <v>11854</v>
      </c>
      <c r="I324" s="2">
        <v>1473367.4076922149</v>
      </c>
      <c r="J324" s="3">
        <f>IFERROR(I324/H324,"")</f>
        <v>124.29284694552176</v>
      </c>
      <c r="K324" s="4">
        <f>IFERROR(H324/I324,"")</f>
        <v>8.045515285672919E-3</v>
      </c>
    </row>
    <row r="325" spans="1:11">
      <c r="A325" t="s">
        <v>13</v>
      </c>
      <c r="B325" t="s">
        <v>28</v>
      </c>
      <c r="C325" t="s">
        <v>18</v>
      </c>
      <c r="D325" t="s">
        <v>21</v>
      </c>
      <c r="E325" t="s">
        <v>15</v>
      </c>
      <c r="F325" t="s">
        <v>16</v>
      </c>
      <c r="G325" s="6" t="s">
        <v>82</v>
      </c>
      <c r="H325" s="2">
        <v>8273</v>
      </c>
      <c r="I325" s="2">
        <v>1024926.1451257251</v>
      </c>
      <c r="J325" s="3">
        <f>IFERROR(I325/H325,"")</f>
        <v>123.88808716617008</v>
      </c>
      <c r="K325" s="4">
        <f>IFERROR(H325/I325,"")</f>
        <v>8.0718011140062905E-3</v>
      </c>
    </row>
    <row r="326" spans="1:11">
      <c r="A326" t="s">
        <v>17</v>
      </c>
      <c r="B326" t="s">
        <v>56</v>
      </c>
      <c r="C326" t="s">
        <v>40</v>
      </c>
      <c r="D326" t="s">
        <v>21</v>
      </c>
      <c r="E326" t="s">
        <v>15</v>
      </c>
      <c r="F326" t="s">
        <v>16</v>
      </c>
      <c r="G326" s="6" t="s">
        <v>81</v>
      </c>
      <c r="H326" s="2">
        <v>12178</v>
      </c>
      <c r="I326" s="2">
        <v>1499742.9893324079</v>
      </c>
      <c r="J326" s="3">
        <f>IFERROR(I326/H326,"")</f>
        <v>123.15183029499163</v>
      </c>
      <c r="K326" s="4">
        <f>IFERROR(H326/I326,"")</f>
        <v>8.1200579610116314E-3</v>
      </c>
    </row>
    <row r="327" spans="1:11">
      <c r="A327" t="s">
        <v>18</v>
      </c>
      <c r="B327" t="s">
        <v>34</v>
      </c>
      <c r="C327" t="s">
        <v>13</v>
      </c>
      <c r="D327" t="s">
        <v>21</v>
      </c>
      <c r="E327" t="s">
        <v>15</v>
      </c>
      <c r="F327" t="s">
        <v>16</v>
      </c>
      <c r="G327" s="6">
        <v>2025</v>
      </c>
      <c r="H327" s="2">
        <v>9768</v>
      </c>
      <c r="I327" s="2">
        <v>1197004.4217133876</v>
      </c>
      <c r="J327" s="3">
        <f>IFERROR(I327/H327,"")</f>
        <v>122.54345021635827</v>
      </c>
      <c r="K327" s="4">
        <f>IFERROR(H327/I327,"")</f>
        <v>8.1603708581277599E-3</v>
      </c>
    </row>
    <row r="328" spans="1:11">
      <c r="A328" t="s">
        <v>17</v>
      </c>
      <c r="B328" t="s">
        <v>52</v>
      </c>
      <c r="C328" t="s">
        <v>40</v>
      </c>
      <c r="D328" t="s">
        <v>21</v>
      </c>
      <c r="E328" t="s">
        <v>15</v>
      </c>
      <c r="F328" t="s">
        <v>16</v>
      </c>
      <c r="G328" s="6" t="s">
        <v>81</v>
      </c>
      <c r="H328" s="2">
        <v>13649</v>
      </c>
      <c r="I328" s="2">
        <v>1671123.2165662351</v>
      </c>
      <c r="J328" s="3">
        <f>IFERROR(I328/H328,"")</f>
        <v>122.43557891173236</v>
      </c>
      <c r="K328" s="4">
        <f>IFERROR(H328/I328,"")</f>
        <v>8.1675605154032174E-3</v>
      </c>
    </row>
    <row r="329" spans="1:11">
      <c r="A329" t="s">
        <v>17</v>
      </c>
      <c r="B329" t="s">
        <v>70</v>
      </c>
      <c r="C329" t="s">
        <v>40</v>
      </c>
      <c r="D329" t="s">
        <v>21</v>
      </c>
      <c r="E329" t="s">
        <v>15</v>
      </c>
      <c r="F329" t="s">
        <v>16</v>
      </c>
      <c r="G329" s="6" t="s">
        <v>82</v>
      </c>
      <c r="H329" s="2">
        <v>7680</v>
      </c>
      <c r="I329" s="2">
        <v>939044.57712954399</v>
      </c>
      <c r="J329" s="3">
        <f>IFERROR(I329/H329,"")</f>
        <v>122.2714293137427</v>
      </c>
      <c r="K329" s="4">
        <f>IFERROR(H329/I329,"")</f>
        <v>8.1785254790311419E-3</v>
      </c>
    </row>
    <row r="330" spans="1:11">
      <c r="A330" t="s">
        <v>13</v>
      </c>
      <c r="B330" t="s">
        <v>74</v>
      </c>
      <c r="C330" t="s">
        <v>61</v>
      </c>
      <c r="D330" t="s">
        <v>14</v>
      </c>
      <c r="E330" t="s">
        <v>15</v>
      </c>
      <c r="F330" t="s">
        <v>16</v>
      </c>
      <c r="G330" s="6" t="s">
        <v>82</v>
      </c>
      <c r="H330" s="2">
        <v>5237</v>
      </c>
      <c r="I330" s="2">
        <v>639546.22588003892</v>
      </c>
      <c r="J330" s="3">
        <f>IFERROR(I330/H330,"")</f>
        <v>122.12072291007044</v>
      </c>
      <c r="K330" s="4">
        <f>IFERROR(H330/I330,"")</f>
        <v>8.1886184111143751E-3</v>
      </c>
    </row>
    <row r="331" spans="1:11">
      <c r="A331" t="s">
        <v>19</v>
      </c>
      <c r="B331" t="s">
        <v>27</v>
      </c>
      <c r="C331" t="s">
        <v>11</v>
      </c>
      <c r="D331" t="s">
        <v>21</v>
      </c>
      <c r="E331" t="s">
        <v>15</v>
      </c>
      <c r="F331" t="s">
        <v>16</v>
      </c>
      <c r="G331" s="6" t="s">
        <v>81</v>
      </c>
      <c r="H331" s="2">
        <v>5347</v>
      </c>
      <c r="I331" s="2">
        <v>651122.306056962</v>
      </c>
      <c r="J331" s="3">
        <f>IFERROR(I331/H331,"")</f>
        <v>121.77338807872863</v>
      </c>
      <c r="K331" s="4">
        <f>IFERROR(H331/I331,"")</f>
        <v>8.2119748475215498E-3</v>
      </c>
    </row>
    <row r="332" spans="1:11">
      <c r="A332" t="s">
        <v>11</v>
      </c>
      <c r="B332" t="s">
        <v>41</v>
      </c>
      <c r="C332" t="s">
        <v>38</v>
      </c>
      <c r="D332" t="s">
        <v>21</v>
      </c>
      <c r="E332" t="s">
        <v>15</v>
      </c>
      <c r="F332" t="s">
        <v>16</v>
      </c>
      <c r="G332" s="6" t="s">
        <v>82</v>
      </c>
      <c r="H332" s="2">
        <v>12170</v>
      </c>
      <c r="I332" s="2">
        <v>1481517.9264777361</v>
      </c>
      <c r="J332" s="3">
        <f>IFERROR(I332/H332,"")</f>
        <v>121.73524457499886</v>
      </c>
      <c r="K332" s="4">
        <f>IFERROR(H332/I332,"")</f>
        <v>8.2145479190615031E-3</v>
      </c>
    </row>
    <row r="333" spans="1:11">
      <c r="A333" t="s">
        <v>19</v>
      </c>
      <c r="B333" t="s">
        <v>45</v>
      </c>
      <c r="C333" t="s">
        <v>38</v>
      </c>
      <c r="D333" t="s">
        <v>21</v>
      </c>
      <c r="E333" t="s">
        <v>15</v>
      </c>
      <c r="F333" t="s">
        <v>16</v>
      </c>
      <c r="G333" s="6" t="s">
        <v>82</v>
      </c>
      <c r="H333" s="2">
        <v>671</v>
      </c>
      <c r="I333" s="2">
        <v>81669.1821390939</v>
      </c>
      <c r="J333" s="3">
        <f>IFERROR(I333/H333,"")</f>
        <v>121.71264104186871</v>
      </c>
      <c r="K333" s="4">
        <f>IFERROR(H333/I333,"")</f>
        <v>8.2160734615560893E-3</v>
      </c>
    </row>
    <row r="334" spans="1:11">
      <c r="A334" t="s">
        <v>11</v>
      </c>
      <c r="B334" t="s">
        <v>44</v>
      </c>
      <c r="C334" t="s">
        <v>36</v>
      </c>
      <c r="D334" t="s">
        <v>21</v>
      </c>
      <c r="E334" t="s">
        <v>15</v>
      </c>
      <c r="F334" t="s">
        <v>16</v>
      </c>
      <c r="G334" s="6">
        <v>2025</v>
      </c>
      <c r="H334" s="2">
        <v>9740</v>
      </c>
      <c r="I334" s="2">
        <v>1185181.9081632034</v>
      </c>
      <c r="J334" s="3">
        <f>IFERROR(I334/H334,"")</f>
        <v>121.68192075597571</v>
      </c>
      <c r="K334" s="4">
        <f>IFERROR(H334/I334,"")</f>
        <v>8.218147723074061E-3</v>
      </c>
    </row>
    <row r="335" spans="1:11">
      <c r="A335" t="s">
        <v>13</v>
      </c>
      <c r="B335" t="s">
        <v>70</v>
      </c>
      <c r="C335" t="s">
        <v>40</v>
      </c>
      <c r="D335" t="s">
        <v>21</v>
      </c>
      <c r="E335" t="s">
        <v>15</v>
      </c>
      <c r="F335" t="s">
        <v>16</v>
      </c>
      <c r="G335" s="6">
        <v>2025</v>
      </c>
      <c r="H335" s="2">
        <v>31222</v>
      </c>
      <c r="I335" s="2">
        <v>3795111.1010822528</v>
      </c>
      <c r="J335" s="3">
        <f>IFERROR(I335/H335,"")</f>
        <v>121.55246624438706</v>
      </c>
      <c r="K335" s="4">
        <f>IFERROR(H335/I335,"")</f>
        <v>8.2269001271389423E-3</v>
      </c>
    </row>
    <row r="336" spans="1:11">
      <c r="A336" t="s">
        <v>11</v>
      </c>
      <c r="B336" t="s">
        <v>56</v>
      </c>
      <c r="C336" t="s">
        <v>40</v>
      </c>
      <c r="D336" t="s">
        <v>21</v>
      </c>
      <c r="E336" t="s">
        <v>15</v>
      </c>
      <c r="F336" t="s">
        <v>16</v>
      </c>
      <c r="G336" s="6">
        <v>2025</v>
      </c>
      <c r="H336" s="2">
        <v>28576</v>
      </c>
      <c r="I336" s="2">
        <v>3465380.5638797572</v>
      </c>
      <c r="J336" s="3">
        <f>IFERROR(I336/H336,"")</f>
        <v>121.26891670911805</v>
      </c>
      <c r="K336" s="4">
        <f>IFERROR(H336/I336,"")</f>
        <v>8.246136166934287E-3</v>
      </c>
    </row>
    <row r="337" spans="1:11">
      <c r="A337" t="s">
        <v>11</v>
      </c>
      <c r="B337" t="s">
        <v>66</v>
      </c>
      <c r="C337" t="s">
        <v>67</v>
      </c>
      <c r="D337" t="s">
        <v>21</v>
      </c>
      <c r="E337" t="s">
        <v>15</v>
      </c>
      <c r="F337" t="s">
        <v>16</v>
      </c>
      <c r="G337" s="6">
        <v>2025</v>
      </c>
      <c r="H337" s="2">
        <v>50660</v>
      </c>
      <c r="I337" s="2">
        <v>6087000</v>
      </c>
      <c r="J337" s="3">
        <f>IFERROR(I337/H337,"")</f>
        <v>120.15396762731939</v>
      </c>
      <c r="K337" s="4">
        <f>IFERROR(H337/I337,"")</f>
        <v>8.3226548381797275E-3</v>
      </c>
    </row>
    <row r="338" spans="1:11">
      <c r="A338" t="s">
        <v>13</v>
      </c>
      <c r="B338" t="s">
        <v>74</v>
      </c>
      <c r="C338" t="s">
        <v>61</v>
      </c>
      <c r="D338" t="s">
        <v>14</v>
      </c>
      <c r="E338" t="s">
        <v>15</v>
      </c>
      <c r="F338" t="s">
        <v>16</v>
      </c>
      <c r="G338" s="6" t="s">
        <v>81</v>
      </c>
      <c r="H338" s="2">
        <v>5041</v>
      </c>
      <c r="I338" s="2">
        <v>605491.956472005</v>
      </c>
      <c r="J338" s="3">
        <f>IFERROR(I338/H338,"")</f>
        <v>120.11346091489882</v>
      </c>
      <c r="K338" s="4">
        <f>IFERROR(H338/I338,"")</f>
        <v>8.3254615459669966E-3</v>
      </c>
    </row>
    <row r="339" spans="1:11">
      <c r="A339" t="s">
        <v>11</v>
      </c>
      <c r="B339" t="s">
        <v>56</v>
      </c>
      <c r="C339" t="s">
        <v>40</v>
      </c>
      <c r="D339" t="s">
        <v>21</v>
      </c>
      <c r="E339" t="s">
        <v>15</v>
      </c>
      <c r="F339" t="s">
        <v>16</v>
      </c>
      <c r="G339" s="6" t="s">
        <v>81</v>
      </c>
      <c r="H339" s="2">
        <v>9644</v>
      </c>
      <c r="I339" s="2">
        <v>1157959.645185221</v>
      </c>
      <c r="J339" s="3">
        <f>IFERROR(I339/H339,"")</f>
        <v>120.07047337051233</v>
      </c>
      <c r="K339" s="4">
        <f>IFERROR(H339/I339,"")</f>
        <v>8.3284422217126553E-3</v>
      </c>
    </row>
    <row r="340" spans="1:11">
      <c r="A340" t="s">
        <v>13</v>
      </c>
      <c r="B340" t="s">
        <v>28</v>
      </c>
      <c r="C340" t="s">
        <v>18</v>
      </c>
      <c r="D340" t="s">
        <v>21</v>
      </c>
      <c r="E340" t="s">
        <v>15</v>
      </c>
      <c r="F340" t="s">
        <v>16</v>
      </c>
      <c r="G340" s="6">
        <v>2025</v>
      </c>
      <c r="H340" s="2">
        <v>22663</v>
      </c>
      <c r="I340" s="2">
        <v>2713744.716133134</v>
      </c>
      <c r="J340" s="3">
        <f>IFERROR(I340/H340,"")</f>
        <v>119.74340185029051</v>
      </c>
      <c r="K340" s="4">
        <f>IFERROR(H340/I340,"")</f>
        <v>8.3511908342996013E-3</v>
      </c>
    </row>
    <row r="341" spans="1:11">
      <c r="A341" t="s">
        <v>18</v>
      </c>
      <c r="B341" t="s">
        <v>78</v>
      </c>
      <c r="C341" t="s">
        <v>25</v>
      </c>
      <c r="D341" t="s">
        <v>21</v>
      </c>
      <c r="E341" t="s">
        <v>15</v>
      </c>
      <c r="F341" t="s">
        <v>26</v>
      </c>
      <c r="G341" s="6">
        <v>2025</v>
      </c>
      <c r="H341" s="2">
        <v>9728</v>
      </c>
      <c r="I341" s="2">
        <v>1158673</v>
      </c>
      <c r="J341" s="3">
        <f>IFERROR(I341/H341,"")</f>
        <v>119.10701069078948</v>
      </c>
      <c r="K341" s="4">
        <f>IFERROR(H341/I341,"")</f>
        <v>8.395811415300089E-3</v>
      </c>
    </row>
    <row r="342" spans="1:11">
      <c r="A342" t="s">
        <v>17</v>
      </c>
      <c r="B342" t="s">
        <v>70</v>
      </c>
      <c r="C342" t="s">
        <v>40</v>
      </c>
      <c r="D342" t="s">
        <v>21</v>
      </c>
      <c r="E342" t="s">
        <v>15</v>
      </c>
      <c r="F342" t="s">
        <v>16</v>
      </c>
      <c r="G342" s="6">
        <v>2025</v>
      </c>
      <c r="H342" s="2">
        <v>22369</v>
      </c>
      <c r="I342" s="2">
        <v>2662036.3609101018</v>
      </c>
      <c r="J342" s="3">
        <f>IFERROR(I342/H342,"")</f>
        <v>119.00560422504813</v>
      </c>
      <c r="K342" s="4">
        <f>IFERROR(H342/I342,"")</f>
        <v>8.4029656125179462E-3</v>
      </c>
    </row>
    <row r="343" spans="1:11">
      <c r="A343" t="s">
        <v>13</v>
      </c>
      <c r="B343" t="s">
        <v>70</v>
      </c>
      <c r="C343" t="s">
        <v>40</v>
      </c>
      <c r="D343" t="s">
        <v>21</v>
      </c>
      <c r="E343" t="s">
        <v>15</v>
      </c>
      <c r="F343" t="s">
        <v>16</v>
      </c>
      <c r="G343" s="6" t="s">
        <v>82</v>
      </c>
      <c r="H343" s="2">
        <v>11122</v>
      </c>
      <c r="I343" s="2">
        <v>1322274.6589145439</v>
      </c>
      <c r="J343" s="3">
        <f>IFERROR(I343/H343,"")</f>
        <v>118.88820885762847</v>
      </c>
      <c r="K343" s="4">
        <f>IFERROR(H343/I343,"")</f>
        <v>8.4112630647630027E-3</v>
      </c>
    </row>
    <row r="344" spans="1:11">
      <c r="A344" t="s">
        <v>13</v>
      </c>
      <c r="B344" t="s">
        <v>28</v>
      </c>
      <c r="C344" t="s">
        <v>18</v>
      </c>
      <c r="D344" t="s">
        <v>21</v>
      </c>
      <c r="E344" t="s">
        <v>15</v>
      </c>
      <c r="F344" t="s">
        <v>16</v>
      </c>
      <c r="G344" s="6" t="s">
        <v>81</v>
      </c>
      <c r="H344" s="2">
        <v>7064</v>
      </c>
      <c r="I344" s="2">
        <v>837917.66268434504</v>
      </c>
      <c r="J344" s="3">
        <f>IFERROR(I344/H344,"")</f>
        <v>118.61801566879177</v>
      </c>
      <c r="K344" s="4">
        <f>IFERROR(H344/I344,"")</f>
        <v>8.4304225994829094E-3</v>
      </c>
    </row>
    <row r="345" spans="1:11">
      <c r="A345" t="s">
        <v>19</v>
      </c>
      <c r="B345" t="s">
        <v>71</v>
      </c>
      <c r="C345" t="s">
        <v>36</v>
      </c>
      <c r="D345" t="s">
        <v>14</v>
      </c>
      <c r="E345" t="s">
        <v>62</v>
      </c>
      <c r="F345" t="s">
        <v>26</v>
      </c>
      <c r="G345" s="6" t="s">
        <v>82</v>
      </c>
      <c r="H345" s="2">
        <v>12570</v>
      </c>
      <c r="I345" s="2">
        <v>1482470.691289457</v>
      </c>
      <c r="J345" s="3">
        <f>IFERROR(I345/H345,"")</f>
        <v>117.93720694426865</v>
      </c>
      <c r="K345" s="4">
        <f>IFERROR(H345/I345,"")</f>
        <v>8.4790883717684694E-3</v>
      </c>
    </row>
    <row r="346" spans="1:11">
      <c r="A346" t="s">
        <v>11</v>
      </c>
      <c r="B346" t="s">
        <v>71</v>
      </c>
      <c r="C346" t="s">
        <v>36</v>
      </c>
      <c r="D346" t="s">
        <v>14</v>
      </c>
      <c r="E346" t="s">
        <v>62</v>
      </c>
      <c r="F346" t="s">
        <v>26</v>
      </c>
      <c r="G346" s="6">
        <v>2025</v>
      </c>
      <c r="H346" s="2">
        <v>25460</v>
      </c>
      <c r="I346" s="2">
        <v>2999051.8719910053</v>
      </c>
      <c r="J346" s="3">
        <f>IFERROR(I346/H346,"")</f>
        <v>117.79465325966243</v>
      </c>
      <c r="K346" s="4">
        <f>IFERROR(H346/I346,"")</f>
        <v>8.4893496633980051E-3</v>
      </c>
    </row>
    <row r="347" spans="1:11">
      <c r="A347" t="s">
        <v>18</v>
      </c>
      <c r="B347" t="s">
        <v>34</v>
      </c>
      <c r="C347" t="s">
        <v>13</v>
      </c>
      <c r="D347" t="s">
        <v>21</v>
      </c>
      <c r="E347" t="s">
        <v>15</v>
      </c>
      <c r="F347" t="s">
        <v>16</v>
      </c>
      <c r="G347" s="6" t="s">
        <v>82</v>
      </c>
      <c r="H347" s="2">
        <v>4459</v>
      </c>
      <c r="I347" s="2">
        <v>523534.35844857199</v>
      </c>
      <c r="J347" s="3">
        <f>IFERROR(I347/H347,"")</f>
        <v>117.41071057379951</v>
      </c>
      <c r="K347" s="4">
        <f>IFERROR(H347/I347,"")</f>
        <v>8.5171105354263348E-3</v>
      </c>
    </row>
    <row r="348" spans="1:11">
      <c r="A348" t="s">
        <v>13</v>
      </c>
      <c r="B348" t="s">
        <v>41</v>
      </c>
      <c r="C348" t="s">
        <v>38</v>
      </c>
      <c r="D348" t="s">
        <v>21</v>
      </c>
      <c r="E348" t="s">
        <v>15</v>
      </c>
      <c r="F348" t="s">
        <v>16</v>
      </c>
      <c r="G348" s="6" t="s">
        <v>81</v>
      </c>
      <c r="H348" s="2">
        <v>16719</v>
      </c>
      <c r="I348" s="2">
        <v>1961887.761039535</v>
      </c>
      <c r="J348" s="3">
        <f>IFERROR(I348/H348,"")</f>
        <v>117.34480298101172</v>
      </c>
      <c r="K348" s="4">
        <f>IFERROR(H348/I348,"")</f>
        <v>8.5218942347350148E-3</v>
      </c>
    </row>
    <row r="349" spans="1:11">
      <c r="A349" t="s">
        <v>17</v>
      </c>
      <c r="B349" t="s">
        <v>68</v>
      </c>
      <c r="C349" t="s">
        <v>17</v>
      </c>
      <c r="D349" t="s">
        <v>21</v>
      </c>
      <c r="E349" t="s">
        <v>15</v>
      </c>
      <c r="F349" t="s">
        <v>16</v>
      </c>
      <c r="G349" s="6" t="s">
        <v>82</v>
      </c>
      <c r="H349" s="2">
        <v>2489</v>
      </c>
      <c r="I349" s="2">
        <v>291315.8123543394</v>
      </c>
      <c r="J349" s="3">
        <f>IFERROR(I349/H349,"")</f>
        <v>117.04130669117694</v>
      </c>
      <c r="K349" s="4">
        <f>IFERROR(H349/I349,"")</f>
        <v>8.5439921021950114E-3</v>
      </c>
    </row>
    <row r="350" spans="1:11">
      <c r="A350" t="s">
        <v>19</v>
      </c>
      <c r="B350" t="s">
        <v>27</v>
      </c>
      <c r="C350" t="s">
        <v>11</v>
      </c>
      <c r="D350" t="s">
        <v>21</v>
      </c>
      <c r="E350" t="s">
        <v>15</v>
      </c>
      <c r="F350" t="s">
        <v>16</v>
      </c>
      <c r="G350" s="6">
        <v>2025</v>
      </c>
      <c r="H350" s="2">
        <v>19084</v>
      </c>
      <c r="I350" s="2">
        <v>2230407.3220389942</v>
      </c>
      <c r="J350" s="3">
        <f>IFERROR(I350/H350,"")</f>
        <v>116.87315667779261</v>
      </c>
      <c r="K350" s="4">
        <f>IFERROR(H350/I350,"")</f>
        <v>8.5562846801246085E-3</v>
      </c>
    </row>
    <row r="351" spans="1:11">
      <c r="A351" t="s">
        <v>11</v>
      </c>
      <c r="B351" t="s">
        <v>12</v>
      </c>
      <c r="C351" t="s">
        <v>13</v>
      </c>
      <c r="D351" t="s">
        <v>14</v>
      </c>
      <c r="E351" t="s">
        <v>15</v>
      </c>
      <c r="F351" t="s">
        <v>16</v>
      </c>
      <c r="G351" s="6" t="s">
        <v>81</v>
      </c>
      <c r="H351" s="2">
        <v>2586</v>
      </c>
      <c r="I351" s="2">
        <v>301929.74985848099</v>
      </c>
      <c r="J351" s="3">
        <f>IFERROR(I351/H351,"")</f>
        <v>116.7555103861102</v>
      </c>
      <c r="K351" s="4">
        <f>IFERROR(H351/I351,"")</f>
        <v>8.5649062446217939E-3</v>
      </c>
    </row>
    <row r="352" spans="1:11">
      <c r="A352" t="s">
        <v>18</v>
      </c>
      <c r="B352" t="s">
        <v>35</v>
      </c>
      <c r="C352" t="s">
        <v>36</v>
      </c>
      <c r="D352" t="s">
        <v>21</v>
      </c>
      <c r="E352" t="s">
        <v>15</v>
      </c>
      <c r="F352" t="s">
        <v>16</v>
      </c>
      <c r="G352" s="6" t="s">
        <v>81</v>
      </c>
      <c r="H352" s="2">
        <v>11613</v>
      </c>
      <c r="I352" s="2">
        <v>1351394.706554435</v>
      </c>
      <c r="J352" s="3">
        <f>IFERROR(I352/H352,"")</f>
        <v>116.36912998832643</v>
      </c>
      <c r="K352" s="4">
        <f>IFERROR(H352/I352,"")</f>
        <v>8.5933443010213703E-3</v>
      </c>
    </row>
    <row r="353" spans="1:11">
      <c r="A353" t="s">
        <v>19</v>
      </c>
      <c r="B353" t="s">
        <v>45</v>
      </c>
      <c r="C353" t="s">
        <v>38</v>
      </c>
      <c r="D353" t="s">
        <v>21</v>
      </c>
      <c r="E353" t="s">
        <v>15</v>
      </c>
      <c r="F353" t="s">
        <v>16</v>
      </c>
      <c r="G353" s="6">
        <v>2024</v>
      </c>
      <c r="H353" s="2">
        <v>1617</v>
      </c>
      <c r="I353" s="2">
        <v>187380.99830922455</v>
      </c>
      <c r="J353" s="3">
        <f>IFERROR(I353/H353,"")</f>
        <v>115.88187897911227</v>
      </c>
      <c r="K353" s="4">
        <f>IFERROR(H353/I353,"")</f>
        <v>8.6294769191674059E-3</v>
      </c>
    </row>
    <row r="354" spans="1:11">
      <c r="A354" t="s">
        <v>11</v>
      </c>
      <c r="B354" t="s">
        <v>46</v>
      </c>
      <c r="C354" t="s">
        <v>38</v>
      </c>
      <c r="D354" t="s">
        <v>21</v>
      </c>
      <c r="E354" t="s">
        <v>15</v>
      </c>
      <c r="F354" t="s">
        <v>16</v>
      </c>
      <c r="G354" s="6" t="s">
        <v>81</v>
      </c>
      <c r="H354" s="2">
        <v>10963</v>
      </c>
      <c r="I354" s="2">
        <v>1266309.771904059</v>
      </c>
      <c r="J354" s="3">
        <f>IFERROR(I354/H354,"")</f>
        <v>115.50759572234416</v>
      </c>
      <c r="K354" s="4">
        <f>IFERROR(H354/I354,"")</f>
        <v>8.6574393116430944E-3</v>
      </c>
    </row>
    <row r="355" spans="1:11">
      <c r="A355" t="s">
        <v>11</v>
      </c>
      <c r="B355" t="s">
        <v>44</v>
      </c>
      <c r="C355" t="s">
        <v>36</v>
      </c>
      <c r="D355" t="s">
        <v>21</v>
      </c>
      <c r="E355" t="s">
        <v>15</v>
      </c>
      <c r="F355" t="s">
        <v>16</v>
      </c>
      <c r="G355" s="6" t="s">
        <v>82</v>
      </c>
      <c r="H355" s="2">
        <v>3411</v>
      </c>
      <c r="I355" s="2">
        <v>393445.24215814931</v>
      </c>
      <c r="J355" s="3">
        <f>IFERROR(I355/H355,"")</f>
        <v>115.34601060045421</v>
      </c>
      <c r="K355" s="4">
        <f>IFERROR(H355/I355,"")</f>
        <v>8.6695672853731292E-3</v>
      </c>
    </row>
    <row r="356" spans="1:11">
      <c r="A356" t="s">
        <v>17</v>
      </c>
      <c r="B356" t="s">
        <v>71</v>
      </c>
      <c r="C356" t="s">
        <v>36</v>
      </c>
      <c r="D356" t="s">
        <v>14</v>
      </c>
      <c r="E356" t="s">
        <v>62</v>
      </c>
      <c r="F356" t="s">
        <v>26</v>
      </c>
      <c r="G356" s="6" t="s">
        <v>82</v>
      </c>
      <c r="H356" s="2">
        <v>15978</v>
      </c>
      <c r="I356" s="2">
        <v>1838213.4316858239</v>
      </c>
      <c r="J356" s="3">
        <f>IFERROR(I356/H356,"")</f>
        <v>115.04652845699236</v>
      </c>
      <c r="K356" s="4">
        <f>IFERROR(H356/I356,"")</f>
        <v>8.6921353769820898E-3</v>
      </c>
    </row>
    <row r="357" spans="1:11">
      <c r="A357" t="s">
        <v>19</v>
      </c>
      <c r="B357" t="s">
        <v>71</v>
      </c>
      <c r="C357" t="s">
        <v>36</v>
      </c>
      <c r="D357" t="s">
        <v>14</v>
      </c>
      <c r="E357" t="s">
        <v>62</v>
      </c>
      <c r="F357" t="s">
        <v>26</v>
      </c>
      <c r="G357" s="6" t="s">
        <v>81</v>
      </c>
      <c r="H357" s="2">
        <v>12986</v>
      </c>
      <c r="I357" s="2">
        <v>1492308.4082112231</v>
      </c>
      <c r="J357" s="3">
        <f>IFERROR(I357/H357,"")</f>
        <v>114.91671093571716</v>
      </c>
      <c r="K357" s="4">
        <f>IFERROR(H357/I357,"")</f>
        <v>8.7019545883051455E-3</v>
      </c>
    </row>
    <row r="358" spans="1:11">
      <c r="A358" t="s">
        <v>11</v>
      </c>
      <c r="B358" t="s">
        <v>23</v>
      </c>
      <c r="C358" t="s">
        <v>17</v>
      </c>
      <c r="D358" t="s">
        <v>14</v>
      </c>
      <c r="E358" t="s">
        <v>15</v>
      </c>
      <c r="F358" t="s">
        <v>16</v>
      </c>
      <c r="G358" s="6">
        <v>2025</v>
      </c>
      <c r="H358" s="2">
        <v>60904</v>
      </c>
      <c r="I358" s="2">
        <v>6965813.9706791528</v>
      </c>
      <c r="J358" s="3">
        <f>IFERROR(I358/H358,"")</f>
        <v>114.37366955666545</v>
      </c>
      <c r="K358" s="4">
        <f>IFERROR(H358/I358,"")</f>
        <v>8.7432711031847996E-3</v>
      </c>
    </row>
    <row r="359" spans="1:11">
      <c r="A359" t="s">
        <v>17</v>
      </c>
      <c r="B359" t="s">
        <v>70</v>
      </c>
      <c r="C359" t="s">
        <v>40</v>
      </c>
      <c r="D359" t="s">
        <v>21</v>
      </c>
      <c r="E359" t="s">
        <v>15</v>
      </c>
      <c r="F359" t="s">
        <v>16</v>
      </c>
      <c r="G359" s="6" t="s">
        <v>81</v>
      </c>
      <c r="H359" s="2">
        <v>8180</v>
      </c>
      <c r="I359" s="2">
        <v>930921.05318667099</v>
      </c>
      <c r="J359" s="3">
        <f>IFERROR(I359/H359,"")</f>
        <v>113.80452972942189</v>
      </c>
      <c r="K359" s="4">
        <f>IFERROR(H359/I359,"")</f>
        <v>8.7869964611915624E-3</v>
      </c>
    </row>
    <row r="360" spans="1:11">
      <c r="A360" t="s">
        <v>18</v>
      </c>
      <c r="B360" t="s">
        <v>52</v>
      </c>
      <c r="C360" t="s">
        <v>40</v>
      </c>
      <c r="D360" t="s">
        <v>21</v>
      </c>
      <c r="E360" t="s">
        <v>15</v>
      </c>
      <c r="F360" t="s">
        <v>16</v>
      </c>
      <c r="G360" s="6">
        <v>2024</v>
      </c>
      <c r="H360" s="2">
        <v>17526</v>
      </c>
      <c r="I360" s="2">
        <v>1992031.8449334139</v>
      </c>
      <c r="J360" s="3">
        <f>IFERROR(I360/H360,"")</f>
        <v>113.66152259120244</v>
      </c>
      <c r="K360" s="4">
        <f>IFERROR(H360/I360,"")</f>
        <v>8.7980521217951857E-3</v>
      </c>
    </row>
    <row r="361" spans="1:11">
      <c r="A361" t="s">
        <v>18</v>
      </c>
      <c r="B361" t="s">
        <v>52</v>
      </c>
      <c r="C361" t="s">
        <v>40</v>
      </c>
      <c r="D361" t="s">
        <v>21</v>
      </c>
      <c r="E361" t="s">
        <v>15</v>
      </c>
      <c r="F361" t="s">
        <v>16</v>
      </c>
      <c r="G361" s="6" t="s">
        <v>82</v>
      </c>
      <c r="H361" s="2">
        <v>7372</v>
      </c>
      <c r="I361" s="2">
        <v>837532.18058806204</v>
      </c>
      <c r="J361" s="3">
        <f>IFERROR(I361/H361,"")</f>
        <v>113.60989969995416</v>
      </c>
      <c r="K361" s="4">
        <f>IFERROR(H361/I361,"")</f>
        <v>8.8020498446087746E-3</v>
      </c>
    </row>
    <row r="362" spans="1:11">
      <c r="A362" t="s">
        <v>17</v>
      </c>
      <c r="B362" t="s">
        <v>56</v>
      </c>
      <c r="C362" t="s">
        <v>40</v>
      </c>
      <c r="D362" t="s">
        <v>21</v>
      </c>
      <c r="E362" t="s">
        <v>15</v>
      </c>
      <c r="F362" t="s">
        <v>16</v>
      </c>
      <c r="G362" s="6">
        <v>2025</v>
      </c>
      <c r="H362" s="2">
        <v>31112</v>
      </c>
      <c r="I362" s="2">
        <v>3524910.5122378459</v>
      </c>
      <c r="J362" s="3">
        <f>IFERROR(I362/H362,"")</f>
        <v>113.29745796598888</v>
      </c>
      <c r="K362" s="4">
        <f>IFERROR(H362/I362,"")</f>
        <v>8.8263233611136551E-3</v>
      </c>
    </row>
    <row r="363" spans="1:11">
      <c r="A363" t="s">
        <v>18</v>
      </c>
      <c r="B363" t="s">
        <v>56</v>
      </c>
      <c r="C363" t="s">
        <v>40</v>
      </c>
      <c r="D363" t="s">
        <v>21</v>
      </c>
      <c r="E363" t="s">
        <v>15</v>
      </c>
      <c r="F363" t="s">
        <v>16</v>
      </c>
      <c r="G363" s="6" t="s">
        <v>82</v>
      </c>
      <c r="H363" s="2">
        <v>11969</v>
      </c>
      <c r="I363" s="2">
        <v>1354999.530976152</v>
      </c>
      <c r="J363" s="3">
        <f>IFERROR(I363/H363,"")</f>
        <v>113.2090843826679</v>
      </c>
      <c r="K363" s="4">
        <f>IFERROR(H363/I363,"")</f>
        <v>8.8332133896588446E-3</v>
      </c>
    </row>
    <row r="364" spans="1:11">
      <c r="A364" t="s">
        <v>11</v>
      </c>
      <c r="B364" t="s">
        <v>66</v>
      </c>
      <c r="C364" t="s">
        <v>67</v>
      </c>
      <c r="D364" t="s">
        <v>21</v>
      </c>
      <c r="E364" t="s">
        <v>15</v>
      </c>
      <c r="F364" t="s">
        <v>16</v>
      </c>
      <c r="G364" s="6">
        <v>2024</v>
      </c>
      <c r="H364" s="2">
        <v>44501</v>
      </c>
      <c r="I364" s="2">
        <v>5029000</v>
      </c>
      <c r="J364" s="3">
        <f>IFERROR(I364/H364,"")</f>
        <v>113.008696433788</v>
      </c>
      <c r="K364" s="4">
        <f>IFERROR(H364/I364,"")</f>
        <v>8.8488765162060053E-3</v>
      </c>
    </row>
    <row r="365" spans="1:11">
      <c r="A365" t="s">
        <v>17</v>
      </c>
      <c r="B365" t="s">
        <v>69</v>
      </c>
      <c r="C365" t="s">
        <v>40</v>
      </c>
      <c r="D365" t="s">
        <v>21</v>
      </c>
      <c r="E365" t="s">
        <v>15</v>
      </c>
      <c r="F365" t="s">
        <v>16</v>
      </c>
      <c r="G365" s="6" t="s">
        <v>81</v>
      </c>
      <c r="H365" s="2">
        <v>1418</v>
      </c>
      <c r="I365" s="2">
        <v>159642.43565040961</v>
      </c>
      <c r="J365" s="3">
        <f>IFERROR(I365/H365,"")</f>
        <v>112.58281780705896</v>
      </c>
      <c r="K365" s="4">
        <f>IFERROR(H365/I365,"")</f>
        <v>8.882350073292444E-3</v>
      </c>
    </row>
    <row r="366" spans="1:11">
      <c r="A366" t="s">
        <v>11</v>
      </c>
      <c r="B366" t="s">
        <v>68</v>
      </c>
      <c r="C366" t="s">
        <v>17</v>
      </c>
      <c r="D366" t="s">
        <v>21</v>
      </c>
      <c r="E366" t="s">
        <v>15</v>
      </c>
      <c r="F366" t="s">
        <v>16</v>
      </c>
      <c r="G366" s="6" t="s">
        <v>81</v>
      </c>
      <c r="H366" s="2">
        <v>349</v>
      </c>
      <c r="I366" s="2">
        <v>39256.634988339603</v>
      </c>
      <c r="J366" s="3">
        <f>IFERROR(I366/H366,"")</f>
        <v>112.483194808996</v>
      </c>
      <c r="K366" s="4">
        <f>IFERROR(H366/I366,"")</f>
        <v>8.8902169048280227E-3</v>
      </c>
    </row>
    <row r="367" spans="1:11">
      <c r="A367" t="s">
        <v>19</v>
      </c>
      <c r="B367" t="s">
        <v>60</v>
      </c>
      <c r="C367" t="s">
        <v>61</v>
      </c>
      <c r="D367" t="s">
        <v>14</v>
      </c>
      <c r="E367" t="s">
        <v>62</v>
      </c>
      <c r="F367" t="s">
        <v>16</v>
      </c>
      <c r="G367" s="6">
        <v>2025</v>
      </c>
      <c r="H367" s="2">
        <v>15226</v>
      </c>
      <c r="I367" s="2">
        <v>1710734.717772268</v>
      </c>
      <c r="J367" s="3">
        <f>IFERROR(I367/H367,"")</f>
        <v>112.35614854671404</v>
      </c>
      <c r="K367" s="4">
        <f>IFERROR(H367/I367,"")</f>
        <v>8.9002694817741316E-3</v>
      </c>
    </row>
    <row r="368" spans="1:11">
      <c r="A368" t="s">
        <v>13</v>
      </c>
      <c r="B368" t="s">
        <v>65</v>
      </c>
      <c r="C368" t="s">
        <v>18</v>
      </c>
      <c r="D368" t="s">
        <v>21</v>
      </c>
      <c r="E368" t="s">
        <v>15</v>
      </c>
      <c r="F368" t="s">
        <v>16</v>
      </c>
      <c r="G368" s="6">
        <v>2025</v>
      </c>
      <c r="H368" s="2">
        <v>8291</v>
      </c>
      <c r="I368" s="2">
        <v>929539.35449854285</v>
      </c>
      <c r="J368" s="3">
        <f>IFERROR(I368/H368,"")</f>
        <v>112.11426299584403</v>
      </c>
      <c r="K368" s="4">
        <f>IFERROR(H368/I368,"")</f>
        <v>8.9194717360543945E-3</v>
      </c>
    </row>
    <row r="369" spans="1:11">
      <c r="A369" t="s">
        <v>18</v>
      </c>
      <c r="B369" t="s">
        <v>41</v>
      </c>
      <c r="C369" t="s">
        <v>38</v>
      </c>
      <c r="D369" t="s">
        <v>21</v>
      </c>
      <c r="E369" t="s">
        <v>15</v>
      </c>
      <c r="F369" t="s">
        <v>16</v>
      </c>
      <c r="G369" s="6" t="s">
        <v>81</v>
      </c>
      <c r="H369" s="2">
        <v>20942</v>
      </c>
      <c r="I369" s="2">
        <v>2326602.9653460709</v>
      </c>
      <c r="J369" s="3">
        <f>IFERROR(I369/H369,"")</f>
        <v>111.09745799570581</v>
      </c>
      <c r="K369" s="4">
        <f>IFERROR(H369/I369,"")</f>
        <v>9.0011060382556417E-3</v>
      </c>
    </row>
    <row r="370" spans="1:11">
      <c r="A370" t="s">
        <v>18</v>
      </c>
      <c r="B370" t="s">
        <v>72</v>
      </c>
      <c r="C370" t="s">
        <v>40</v>
      </c>
      <c r="D370" t="s">
        <v>21</v>
      </c>
      <c r="E370" t="s">
        <v>15</v>
      </c>
      <c r="F370" t="s">
        <v>16</v>
      </c>
      <c r="G370" s="6">
        <v>2025</v>
      </c>
      <c r="H370" s="2">
        <v>96290</v>
      </c>
      <c r="I370" s="2">
        <v>10692007.64506609</v>
      </c>
      <c r="J370" s="3">
        <f>IFERROR(I370/H370,"")</f>
        <v>111.03964736801423</v>
      </c>
      <c r="K370" s="4">
        <f>IFERROR(H370/I370,"")</f>
        <v>9.0057922886384919E-3</v>
      </c>
    </row>
    <row r="371" spans="1:11">
      <c r="A371" t="s">
        <v>17</v>
      </c>
      <c r="B371" t="s">
        <v>24</v>
      </c>
      <c r="C371" t="s">
        <v>25</v>
      </c>
      <c r="D371" t="s">
        <v>14</v>
      </c>
      <c r="E371" t="s">
        <v>15</v>
      </c>
      <c r="F371" t="s">
        <v>26</v>
      </c>
      <c r="G371" s="6" t="s">
        <v>82</v>
      </c>
      <c r="H371" s="2">
        <v>13825</v>
      </c>
      <c r="I371" s="2">
        <v>1534136.230814347</v>
      </c>
      <c r="J371" s="3">
        <f>IFERROR(I371/H371,"")</f>
        <v>110.96826262671588</v>
      </c>
      <c r="K371" s="4">
        <f>IFERROR(H371/I371,"")</f>
        <v>9.0115856221330767E-3</v>
      </c>
    </row>
    <row r="372" spans="1:11">
      <c r="A372" t="s">
        <v>11</v>
      </c>
      <c r="B372" t="s">
        <v>44</v>
      </c>
      <c r="C372" t="s">
        <v>36</v>
      </c>
      <c r="D372" t="s">
        <v>21</v>
      </c>
      <c r="E372" t="s">
        <v>15</v>
      </c>
      <c r="F372" t="s">
        <v>16</v>
      </c>
      <c r="G372" s="6">
        <v>2024</v>
      </c>
      <c r="H372" s="2">
        <v>11790</v>
      </c>
      <c r="I372" s="2">
        <v>1305899.8258150637</v>
      </c>
      <c r="J372" s="3">
        <f>IFERROR(I372/H372,"")</f>
        <v>110.76334400467037</v>
      </c>
      <c r="K372" s="4">
        <f>IFERROR(H372/I372,"")</f>
        <v>9.0282575791304637E-3</v>
      </c>
    </row>
    <row r="373" spans="1:11">
      <c r="A373" t="s">
        <v>13</v>
      </c>
      <c r="B373" t="s">
        <v>35</v>
      </c>
      <c r="C373" t="s">
        <v>36</v>
      </c>
      <c r="D373" t="s">
        <v>21</v>
      </c>
      <c r="E373" t="s">
        <v>15</v>
      </c>
      <c r="F373" t="s">
        <v>16</v>
      </c>
      <c r="G373" s="6">
        <v>2024</v>
      </c>
      <c r="H373" s="2">
        <v>68715</v>
      </c>
      <c r="I373" s="2">
        <v>7609652.5554469153</v>
      </c>
      <c r="J373" s="3">
        <f>IFERROR(I373/H373,"")</f>
        <v>110.74223321613789</v>
      </c>
      <c r="K373" s="4">
        <f>IFERROR(H373/I373,"")</f>
        <v>9.0299786355967689E-3</v>
      </c>
    </row>
    <row r="374" spans="1:11">
      <c r="A374" t="s">
        <v>13</v>
      </c>
      <c r="B374" t="s">
        <v>35</v>
      </c>
      <c r="C374" t="s">
        <v>36</v>
      </c>
      <c r="D374" t="s">
        <v>21</v>
      </c>
      <c r="E374" t="s">
        <v>15</v>
      </c>
      <c r="F374" t="s">
        <v>16</v>
      </c>
      <c r="G374" s="6">
        <v>2025</v>
      </c>
      <c r="H374" s="2">
        <v>60726</v>
      </c>
      <c r="I374" s="2">
        <v>6707753.5127186077</v>
      </c>
      <c r="J374" s="3">
        <f>IFERROR(I374/H374,"")</f>
        <v>110.45933393799373</v>
      </c>
      <c r="K374" s="4">
        <f>IFERROR(H374/I374,"")</f>
        <v>9.0531054674053094E-3</v>
      </c>
    </row>
    <row r="375" spans="1:11">
      <c r="A375" t="s">
        <v>19</v>
      </c>
      <c r="B375" t="s">
        <v>24</v>
      </c>
      <c r="C375" t="s">
        <v>25</v>
      </c>
      <c r="D375" t="s">
        <v>14</v>
      </c>
      <c r="E375" t="s">
        <v>15</v>
      </c>
      <c r="F375" t="s">
        <v>26</v>
      </c>
      <c r="G375" s="6">
        <v>2024</v>
      </c>
      <c r="H375" s="2">
        <v>8788</v>
      </c>
      <c r="I375" s="2">
        <v>967625.56626431237</v>
      </c>
      <c r="J375" s="3">
        <f>IFERROR(I375/H375,"")</f>
        <v>110.10759743562954</v>
      </c>
      <c r="K375" s="4">
        <f>IFERROR(H375/I375,"")</f>
        <v>9.0820254304850682E-3</v>
      </c>
    </row>
    <row r="376" spans="1:11">
      <c r="A376" t="s">
        <v>18</v>
      </c>
      <c r="B376" t="s">
        <v>72</v>
      </c>
      <c r="C376" t="s">
        <v>40</v>
      </c>
      <c r="D376" t="s">
        <v>21</v>
      </c>
      <c r="E376" t="s">
        <v>15</v>
      </c>
      <c r="F376" t="s">
        <v>16</v>
      </c>
      <c r="G376" s="6" t="s">
        <v>81</v>
      </c>
      <c r="H376" s="2">
        <v>31138</v>
      </c>
      <c r="I376" s="2">
        <v>3426555.1093132291</v>
      </c>
      <c r="J376" s="3">
        <f>IFERROR(I376/H376,"")</f>
        <v>110.0441617738207</v>
      </c>
      <c r="K376" s="4">
        <f>IFERROR(H376/I376,"")</f>
        <v>9.0872608222083619E-3</v>
      </c>
    </row>
    <row r="377" spans="1:11">
      <c r="A377" t="s">
        <v>17</v>
      </c>
      <c r="B377" t="s">
        <v>69</v>
      </c>
      <c r="C377" t="s">
        <v>40</v>
      </c>
      <c r="D377" t="s">
        <v>21</v>
      </c>
      <c r="E377" t="s">
        <v>15</v>
      </c>
      <c r="F377" t="s">
        <v>16</v>
      </c>
      <c r="G377" s="6">
        <v>2025</v>
      </c>
      <c r="H377" s="2">
        <v>3978</v>
      </c>
      <c r="I377" s="2">
        <v>437052.63617155072</v>
      </c>
      <c r="J377" s="3">
        <f>IFERROR(I377/H377,"")</f>
        <v>109.86742990737827</v>
      </c>
      <c r="K377" s="4">
        <f>IFERROR(H377/I377,"")</f>
        <v>9.1018785170730934E-3</v>
      </c>
    </row>
    <row r="378" spans="1:11">
      <c r="A378" t="s">
        <v>13</v>
      </c>
      <c r="B378" t="s">
        <v>66</v>
      </c>
      <c r="C378" t="s">
        <v>67</v>
      </c>
      <c r="D378" t="s">
        <v>21</v>
      </c>
      <c r="E378" t="s">
        <v>15</v>
      </c>
      <c r="F378" t="s">
        <v>16</v>
      </c>
      <c r="G378" s="6">
        <v>2025</v>
      </c>
      <c r="H378" s="2">
        <v>38158</v>
      </c>
      <c r="I378" s="2">
        <v>4189482.6151352399</v>
      </c>
      <c r="J378" s="3">
        <f>IFERROR(I378/H378,"")</f>
        <v>109.79303462275905</v>
      </c>
      <c r="K378" s="4">
        <f>IFERROR(H378/I378,"")</f>
        <v>9.1080459105254523E-3</v>
      </c>
    </row>
    <row r="379" spans="1:11">
      <c r="A379" t="s">
        <v>17</v>
      </c>
      <c r="B379" t="s">
        <v>46</v>
      </c>
      <c r="C379" t="s">
        <v>38</v>
      </c>
      <c r="D379" t="s">
        <v>21</v>
      </c>
      <c r="E379" t="s">
        <v>15</v>
      </c>
      <c r="F379" t="s">
        <v>16</v>
      </c>
      <c r="G379" s="6" t="s">
        <v>82</v>
      </c>
      <c r="H379" s="2">
        <v>20032</v>
      </c>
      <c r="I379" s="2">
        <v>2191112.0089567858</v>
      </c>
      <c r="J379" s="3">
        <f>IFERROR(I379/H379,"")</f>
        <v>109.380591501437</v>
      </c>
      <c r="K379" s="4">
        <f>IFERROR(H379/I379,"")</f>
        <v>9.1423897628754597E-3</v>
      </c>
    </row>
    <row r="380" spans="1:11">
      <c r="A380" t="s">
        <v>18</v>
      </c>
      <c r="B380" t="s">
        <v>55</v>
      </c>
      <c r="C380" t="s">
        <v>43</v>
      </c>
      <c r="D380" t="s">
        <v>21</v>
      </c>
      <c r="E380" t="s">
        <v>15</v>
      </c>
      <c r="F380" t="s">
        <v>16</v>
      </c>
      <c r="G380" s="6">
        <v>2024</v>
      </c>
      <c r="H380" s="2">
        <v>7810</v>
      </c>
      <c r="I380" s="2">
        <v>854139.02580756973</v>
      </c>
      <c r="J380" s="3">
        <f>IFERROR(I380/H380,"")</f>
        <v>109.3647920368207</v>
      </c>
      <c r="K380" s="4">
        <f>IFERROR(H380/I380,"")</f>
        <v>9.1437105248947225E-3</v>
      </c>
    </row>
    <row r="381" spans="1:11">
      <c r="A381" t="s">
        <v>19</v>
      </c>
      <c r="B381" t="s">
        <v>69</v>
      </c>
      <c r="C381" t="s">
        <v>40</v>
      </c>
      <c r="D381" t="s">
        <v>21</v>
      </c>
      <c r="E381" t="s">
        <v>15</v>
      </c>
      <c r="F381" t="s">
        <v>16</v>
      </c>
      <c r="G381" s="6" t="s">
        <v>81</v>
      </c>
      <c r="H381" s="2">
        <v>916</v>
      </c>
      <c r="I381" s="2">
        <v>100126.7814809686</v>
      </c>
      <c r="J381" s="3">
        <f>IFERROR(I381/H381,"")</f>
        <v>109.30871340717096</v>
      </c>
      <c r="K381" s="4">
        <f>IFERROR(H381/I381,"")</f>
        <v>9.1484015210666382E-3</v>
      </c>
    </row>
    <row r="382" spans="1:11">
      <c r="A382" t="s">
        <v>13</v>
      </c>
      <c r="B382" t="s">
        <v>56</v>
      </c>
      <c r="C382" t="s">
        <v>40</v>
      </c>
      <c r="D382" t="s">
        <v>21</v>
      </c>
      <c r="E382" t="s">
        <v>15</v>
      </c>
      <c r="F382" t="s">
        <v>16</v>
      </c>
      <c r="G382" s="6">
        <v>2025</v>
      </c>
      <c r="H382" s="2">
        <v>31495</v>
      </c>
      <c r="I382" s="2">
        <v>3431383.31143138</v>
      </c>
      <c r="J382" s="3">
        <f>IFERROR(I382/H382,"")</f>
        <v>108.95009720372694</v>
      </c>
      <c r="K382" s="4">
        <f>IFERROR(H382/I382,"")</f>
        <v>9.1785140689694782E-3</v>
      </c>
    </row>
    <row r="383" spans="1:11">
      <c r="A383" t="s">
        <v>18</v>
      </c>
      <c r="B383" t="s">
        <v>72</v>
      </c>
      <c r="C383" t="s">
        <v>40</v>
      </c>
      <c r="D383" t="s">
        <v>21</v>
      </c>
      <c r="E383" t="s">
        <v>15</v>
      </c>
      <c r="F383" t="s">
        <v>16</v>
      </c>
      <c r="G383" s="6" t="s">
        <v>82</v>
      </c>
      <c r="H383" s="2">
        <v>36031</v>
      </c>
      <c r="I383" s="2">
        <v>3904408.0053593628</v>
      </c>
      <c r="J383" s="3">
        <f>IFERROR(I383/H383,"")</f>
        <v>108.36246580331833</v>
      </c>
      <c r="K383" s="4">
        <f>IFERROR(H383/I383,"")</f>
        <v>9.2282876048154442E-3</v>
      </c>
    </row>
    <row r="384" spans="1:11">
      <c r="A384" t="s">
        <v>18</v>
      </c>
      <c r="B384" t="s">
        <v>22</v>
      </c>
      <c r="C384" t="s">
        <v>17</v>
      </c>
      <c r="D384" t="s">
        <v>14</v>
      </c>
      <c r="E384" t="s">
        <v>15</v>
      </c>
      <c r="F384" t="s">
        <v>16</v>
      </c>
      <c r="G384" s="6">
        <v>2024</v>
      </c>
      <c r="H384" s="2">
        <v>38770</v>
      </c>
      <c r="I384" s="2">
        <v>4179553.4055793472</v>
      </c>
      <c r="J384" s="3">
        <f>IFERROR(I384/H384,"")</f>
        <v>107.80380205260117</v>
      </c>
      <c r="K384" s="4">
        <f>IFERROR(H384/I384,"")</f>
        <v>9.2761106840375234E-3</v>
      </c>
    </row>
    <row r="385" spans="1:11">
      <c r="A385" t="s">
        <v>11</v>
      </c>
      <c r="B385" t="s">
        <v>35</v>
      </c>
      <c r="C385" t="s">
        <v>36</v>
      </c>
      <c r="D385" t="s">
        <v>21</v>
      </c>
      <c r="E385" t="s">
        <v>15</v>
      </c>
      <c r="F385" t="s">
        <v>16</v>
      </c>
      <c r="G385" s="6" t="s">
        <v>81</v>
      </c>
      <c r="H385" s="2">
        <v>12669</v>
      </c>
      <c r="I385" s="2">
        <v>1354970.7869286621</v>
      </c>
      <c r="J385" s="3">
        <f>IFERROR(I385/H385,"")</f>
        <v>106.95167629084079</v>
      </c>
      <c r="K385" s="4">
        <f>IFERROR(H385/I385,"")</f>
        <v>9.3500170794951695E-3</v>
      </c>
    </row>
    <row r="386" spans="1:11">
      <c r="A386" t="s">
        <v>11</v>
      </c>
      <c r="B386" t="s">
        <v>79</v>
      </c>
      <c r="C386" t="s">
        <v>25</v>
      </c>
      <c r="D386" t="s">
        <v>21</v>
      </c>
      <c r="E386" t="s">
        <v>15</v>
      </c>
      <c r="F386" t="s">
        <v>26</v>
      </c>
      <c r="G386" s="6">
        <v>2025</v>
      </c>
      <c r="H386" s="2">
        <v>6175</v>
      </c>
      <c r="I386" s="2">
        <v>660059</v>
      </c>
      <c r="J386" s="3">
        <f>IFERROR(I386/H386,"")</f>
        <v>106.89214574898786</v>
      </c>
      <c r="K386" s="4">
        <f>IFERROR(H386/I386,"")</f>
        <v>9.3552243057060044E-3</v>
      </c>
    </row>
    <row r="387" spans="1:11">
      <c r="A387" t="s">
        <v>18</v>
      </c>
      <c r="B387" t="s">
        <v>72</v>
      </c>
      <c r="C387" t="s">
        <v>40</v>
      </c>
      <c r="D387" t="s">
        <v>21</v>
      </c>
      <c r="E387" t="s">
        <v>15</v>
      </c>
      <c r="F387" t="s">
        <v>16</v>
      </c>
      <c r="G387" s="6">
        <v>2024</v>
      </c>
      <c r="H387" s="2">
        <v>95614</v>
      </c>
      <c r="I387" s="2">
        <v>10189352.73289695</v>
      </c>
      <c r="J387" s="3">
        <f>IFERROR(I387/H387,"")</f>
        <v>106.56758145142919</v>
      </c>
      <c r="K387" s="4">
        <f>IFERROR(H387/I387,"")</f>
        <v>9.3837167587009079E-3</v>
      </c>
    </row>
    <row r="388" spans="1:11">
      <c r="A388" t="s">
        <v>17</v>
      </c>
      <c r="B388" t="s">
        <v>44</v>
      </c>
      <c r="C388" t="s">
        <v>36</v>
      </c>
      <c r="D388" t="s">
        <v>21</v>
      </c>
      <c r="E388" t="s">
        <v>15</v>
      </c>
      <c r="F388" t="s">
        <v>16</v>
      </c>
      <c r="G388" s="6">
        <v>2024</v>
      </c>
      <c r="H388" s="2">
        <v>11972</v>
      </c>
      <c r="I388" s="2">
        <v>1271453.880678948</v>
      </c>
      <c r="J388" s="3">
        <f>IFERROR(I388/H388,"")</f>
        <v>106.2022954125416</v>
      </c>
      <c r="K388" s="4">
        <f>IFERROR(H388/I388,"")</f>
        <v>9.41599233910634E-3</v>
      </c>
    </row>
    <row r="389" spans="1:11">
      <c r="A389" t="s">
        <v>17</v>
      </c>
      <c r="B389" t="s">
        <v>31</v>
      </c>
      <c r="C389" t="s">
        <v>11</v>
      </c>
      <c r="D389" t="s">
        <v>21</v>
      </c>
      <c r="E389" t="s">
        <v>15</v>
      </c>
      <c r="F389" t="s">
        <v>16</v>
      </c>
      <c r="G389" s="6" t="s">
        <v>81</v>
      </c>
      <c r="H389" s="2">
        <v>1366</v>
      </c>
      <c r="I389" s="2">
        <v>144703.5922903496</v>
      </c>
      <c r="J389" s="3">
        <f>IFERROR(I389/H389,"")</f>
        <v>105.93235160347702</v>
      </c>
      <c r="K389" s="4">
        <f>IFERROR(H389/I389,"")</f>
        <v>9.4399867921668712E-3</v>
      </c>
    </row>
    <row r="390" spans="1:11">
      <c r="A390" t="s">
        <v>18</v>
      </c>
      <c r="B390" t="s">
        <v>22</v>
      </c>
      <c r="C390" t="s">
        <v>17</v>
      </c>
      <c r="D390" t="s">
        <v>14</v>
      </c>
      <c r="E390" t="s">
        <v>15</v>
      </c>
      <c r="F390" t="s">
        <v>16</v>
      </c>
      <c r="G390" s="6">
        <v>2025</v>
      </c>
      <c r="H390" s="2">
        <v>41260</v>
      </c>
      <c r="I390" s="2">
        <v>4365849.5748634981</v>
      </c>
      <c r="J390" s="3">
        <f>IFERROR(I390/H390,"")</f>
        <v>105.81312590556225</v>
      </c>
      <c r="K390" s="4">
        <f>IFERROR(H390/I390,"")</f>
        <v>9.4506233649357986E-3</v>
      </c>
    </row>
    <row r="391" spans="1:11">
      <c r="A391" t="s">
        <v>11</v>
      </c>
      <c r="B391" t="s">
        <v>35</v>
      </c>
      <c r="C391" t="s">
        <v>36</v>
      </c>
      <c r="D391" t="s">
        <v>21</v>
      </c>
      <c r="E391" t="s">
        <v>15</v>
      </c>
      <c r="F391" t="s">
        <v>16</v>
      </c>
      <c r="G391" s="6">
        <v>2025</v>
      </c>
      <c r="H391" s="2">
        <v>38321</v>
      </c>
      <c r="I391" s="2">
        <v>4045847.2183523369</v>
      </c>
      <c r="J391" s="3">
        <f>IFERROR(I391/H391,"")</f>
        <v>105.57780899121465</v>
      </c>
      <c r="K391" s="4">
        <f>IFERROR(H391/I391,"")</f>
        <v>9.4716873702428515E-3</v>
      </c>
    </row>
    <row r="392" spans="1:11">
      <c r="A392" t="s">
        <v>17</v>
      </c>
      <c r="B392" t="s">
        <v>44</v>
      </c>
      <c r="C392" t="s">
        <v>36</v>
      </c>
      <c r="D392" t="s">
        <v>21</v>
      </c>
      <c r="E392" t="s">
        <v>15</v>
      </c>
      <c r="F392" t="s">
        <v>16</v>
      </c>
      <c r="G392" s="6" t="s">
        <v>82</v>
      </c>
      <c r="H392" s="2">
        <v>3769</v>
      </c>
      <c r="I392" s="2">
        <v>397494.16503280209</v>
      </c>
      <c r="J392" s="3">
        <f>IFERROR(I392/H392,"")</f>
        <v>105.46409260620909</v>
      </c>
      <c r="K392" s="4">
        <f>IFERROR(H392/I392,"")</f>
        <v>9.4819001926455294E-3</v>
      </c>
    </row>
    <row r="393" spans="1:11">
      <c r="A393" t="s">
        <v>17</v>
      </c>
      <c r="B393" t="s">
        <v>48</v>
      </c>
      <c r="C393" t="s">
        <v>43</v>
      </c>
      <c r="D393" t="s">
        <v>14</v>
      </c>
      <c r="E393" t="s">
        <v>15</v>
      </c>
      <c r="F393" t="s">
        <v>16</v>
      </c>
      <c r="G393" s="6">
        <v>2025</v>
      </c>
      <c r="H393" s="2">
        <v>13061</v>
      </c>
      <c r="I393" s="2">
        <v>1376703.8962167739</v>
      </c>
      <c r="J393" s="3">
        <f>IFERROR(I393/H393,"")</f>
        <v>105.40570371462934</v>
      </c>
      <c r="K393" s="4">
        <f>IFERROR(H393/I393,"")</f>
        <v>9.487152637464049E-3</v>
      </c>
    </row>
    <row r="394" spans="1:11">
      <c r="A394" t="s">
        <v>17</v>
      </c>
      <c r="B394" t="s">
        <v>41</v>
      </c>
      <c r="C394" t="s">
        <v>38</v>
      </c>
      <c r="D394" t="s">
        <v>21</v>
      </c>
      <c r="E394" t="s">
        <v>15</v>
      </c>
      <c r="F394" t="s">
        <v>16</v>
      </c>
      <c r="G394" s="6" t="s">
        <v>81</v>
      </c>
      <c r="H394" s="2">
        <v>28580</v>
      </c>
      <c r="I394" s="2">
        <v>3011377.8404511092</v>
      </c>
      <c r="J394" s="3">
        <f>IFERROR(I394/H394,"")</f>
        <v>105.36661443145938</v>
      </c>
      <c r="K394" s="4">
        <f>IFERROR(H394/I394,"")</f>
        <v>9.4906722152536902E-3</v>
      </c>
    </row>
    <row r="395" spans="1:11">
      <c r="A395" t="s">
        <v>17</v>
      </c>
      <c r="B395" t="s">
        <v>69</v>
      </c>
      <c r="C395" t="s">
        <v>40</v>
      </c>
      <c r="D395" t="s">
        <v>21</v>
      </c>
      <c r="E395" t="s">
        <v>15</v>
      </c>
      <c r="F395" t="s">
        <v>16</v>
      </c>
      <c r="G395" s="6">
        <v>2024</v>
      </c>
      <c r="H395" s="2">
        <v>4510</v>
      </c>
      <c r="I395" s="2">
        <v>474388.62826549471</v>
      </c>
      <c r="J395" s="3">
        <f>IFERROR(I395/H395,"")</f>
        <v>105.18594861762632</v>
      </c>
      <c r="K395" s="4">
        <f>IFERROR(H395/I395,"")</f>
        <v>9.506973252056853E-3</v>
      </c>
    </row>
    <row r="396" spans="1:11">
      <c r="A396" t="s">
        <v>13</v>
      </c>
      <c r="B396" t="s">
        <v>66</v>
      </c>
      <c r="C396" t="s">
        <v>67</v>
      </c>
      <c r="D396" t="s">
        <v>21</v>
      </c>
      <c r="E396" t="s">
        <v>15</v>
      </c>
      <c r="F396" t="s">
        <v>16</v>
      </c>
      <c r="G396" s="6">
        <v>2024</v>
      </c>
      <c r="H396" s="2">
        <v>38152</v>
      </c>
      <c r="I396" s="2">
        <v>3961919.7905268669</v>
      </c>
      <c r="J396" s="3">
        <f>IFERROR(I396/H396,"")</f>
        <v>103.84566446128295</v>
      </c>
      <c r="K396" s="4">
        <f>IFERROR(H396/I396,"")</f>
        <v>9.629675010388446E-3</v>
      </c>
    </row>
    <row r="397" spans="1:11">
      <c r="A397" t="s">
        <v>18</v>
      </c>
      <c r="B397" t="s">
        <v>23</v>
      </c>
      <c r="C397" t="s">
        <v>17</v>
      </c>
      <c r="D397" t="s">
        <v>14</v>
      </c>
      <c r="E397" t="s">
        <v>15</v>
      </c>
      <c r="F397" t="s">
        <v>16</v>
      </c>
      <c r="G397" s="6" t="s">
        <v>81</v>
      </c>
      <c r="H397" s="2">
        <v>13987</v>
      </c>
      <c r="I397" s="2">
        <v>1447883.723341672</v>
      </c>
      <c r="J397" s="3">
        <f>IFERROR(I397/H397,"")</f>
        <v>103.51638831355343</v>
      </c>
      <c r="K397" s="4">
        <f>IFERROR(H397/I397,"")</f>
        <v>9.6603061243885156E-3</v>
      </c>
    </row>
    <row r="398" spans="1:11">
      <c r="A398" t="s">
        <v>11</v>
      </c>
      <c r="B398" t="s">
        <v>74</v>
      </c>
      <c r="C398" t="s">
        <v>61</v>
      </c>
      <c r="D398" t="s">
        <v>14</v>
      </c>
      <c r="E398" t="s">
        <v>15</v>
      </c>
      <c r="F398" t="s">
        <v>16</v>
      </c>
      <c r="G398" s="6">
        <v>2025</v>
      </c>
      <c r="H398" s="2">
        <v>13067</v>
      </c>
      <c r="I398" s="2">
        <v>1350506.4009402466</v>
      </c>
      <c r="J398" s="3">
        <f>IFERROR(I398/H398,"")</f>
        <v>103.35244516264228</v>
      </c>
      <c r="K398" s="4">
        <f>IFERROR(H398/I398,"")</f>
        <v>9.6756298162693054E-3</v>
      </c>
    </row>
    <row r="399" spans="1:11">
      <c r="A399" t="s">
        <v>13</v>
      </c>
      <c r="B399" t="s">
        <v>41</v>
      </c>
      <c r="C399" t="s">
        <v>38</v>
      </c>
      <c r="D399" t="s">
        <v>21</v>
      </c>
      <c r="E399" t="s">
        <v>15</v>
      </c>
      <c r="F399" t="s">
        <v>16</v>
      </c>
      <c r="G399" s="6">
        <v>2024</v>
      </c>
      <c r="H399" s="2">
        <v>49469</v>
      </c>
      <c r="I399" s="2">
        <v>5104462.1824078895</v>
      </c>
      <c r="J399" s="3">
        <f>IFERROR(I399/H399,"")</f>
        <v>103.18506908180657</v>
      </c>
      <c r="K399" s="4">
        <f>IFERROR(H399/I399,"")</f>
        <v>9.6913246160370923E-3</v>
      </c>
    </row>
    <row r="400" spans="1:11">
      <c r="A400" t="s">
        <v>18</v>
      </c>
      <c r="B400" t="s">
        <v>41</v>
      </c>
      <c r="C400" t="s">
        <v>38</v>
      </c>
      <c r="D400" t="s">
        <v>21</v>
      </c>
      <c r="E400" t="s">
        <v>15</v>
      </c>
      <c r="F400" t="s">
        <v>16</v>
      </c>
      <c r="G400" s="6" t="s">
        <v>82</v>
      </c>
      <c r="H400" s="2">
        <v>18500</v>
      </c>
      <c r="I400" s="2">
        <v>1908671.3397737229</v>
      </c>
      <c r="J400" s="3">
        <f>IFERROR(I400/H400,"")</f>
        <v>103.1714237715526</v>
      </c>
      <c r="K400" s="4">
        <f>IFERROR(H400/I400,"")</f>
        <v>9.6926063772682907E-3</v>
      </c>
    </row>
    <row r="401" spans="1:11">
      <c r="A401" t="s">
        <v>18</v>
      </c>
      <c r="B401" t="s">
        <v>22</v>
      </c>
      <c r="C401" t="s">
        <v>17</v>
      </c>
      <c r="D401" t="s">
        <v>14</v>
      </c>
      <c r="E401" t="s">
        <v>15</v>
      </c>
      <c r="F401" t="s">
        <v>16</v>
      </c>
      <c r="G401" s="6" t="s">
        <v>82</v>
      </c>
      <c r="H401" s="2">
        <v>15666</v>
      </c>
      <c r="I401" s="2">
        <v>1615954.064119003</v>
      </c>
      <c r="J401" s="3">
        <f>IFERROR(I401/H401,"")</f>
        <v>103.15039347114791</v>
      </c>
      <c r="K401" s="4">
        <f>IFERROR(H401/I401,"")</f>
        <v>9.6945825056858267E-3</v>
      </c>
    </row>
    <row r="402" spans="1:11">
      <c r="A402" t="s">
        <v>13</v>
      </c>
      <c r="B402" t="s">
        <v>66</v>
      </c>
      <c r="C402" t="s">
        <v>67</v>
      </c>
      <c r="D402" t="s">
        <v>21</v>
      </c>
      <c r="E402" t="s">
        <v>15</v>
      </c>
      <c r="F402" t="s">
        <v>16</v>
      </c>
      <c r="G402" s="6" t="s">
        <v>82</v>
      </c>
      <c r="H402" s="2">
        <v>15155</v>
      </c>
      <c r="I402" s="2">
        <v>1561359.4900114969</v>
      </c>
      <c r="J402" s="3">
        <f>IFERROR(I402/H402,"")</f>
        <v>103.02603035377743</v>
      </c>
      <c r="K402" s="4">
        <f>IFERROR(H402/I402,"")</f>
        <v>9.7062848735036712E-3</v>
      </c>
    </row>
    <row r="403" spans="1:11">
      <c r="A403" t="s">
        <v>13</v>
      </c>
      <c r="B403" t="s">
        <v>23</v>
      </c>
      <c r="C403" t="s">
        <v>17</v>
      </c>
      <c r="D403" t="s">
        <v>14</v>
      </c>
      <c r="E403" t="s">
        <v>15</v>
      </c>
      <c r="F403" t="s">
        <v>16</v>
      </c>
      <c r="G403" s="6">
        <v>2024</v>
      </c>
      <c r="H403" s="2">
        <v>71045</v>
      </c>
      <c r="I403" s="2">
        <v>7305423.2996735927</v>
      </c>
      <c r="J403" s="3">
        <f>IFERROR(I403/H403,"")</f>
        <v>102.82811316311623</v>
      </c>
      <c r="K403" s="4">
        <f>IFERROR(H403/I403,"")</f>
        <v>9.72496693014001E-3</v>
      </c>
    </row>
    <row r="404" spans="1:11">
      <c r="A404" t="s">
        <v>17</v>
      </c>
      <c r="B404" t="s">
        <v>52</v>
      </c>
      <c r="C404" t="s">
        <v>40</v>
      </c>
      <c r="D404" t="s">
        <v>21</v>
      </c>
      <c r="E404" t="s">
        <v>15</v>
      </c>
      <c r="F404" t="s">
        <v>16</v>
      </c>
      <c r="G404" s="6">
        <v>2025</v>
      </c>
      <c r="H404" s="2">
        <v>40724</v>
      </c>
      <c r="I404" s="2">
        <v>4180275.9839959582</v>
      </c>
      <c r="J404" s="3">
        <f>IFERROR(I404/H404,"")</f>
        <v>102.64895354081028</v>
      </c>
      <c r="K404" s="4">
        <f>IFERROR(H404/I404,"")</f>
        <v>9.7419405216092013E-3</v>
      </c>
    </row>
    <row r="405" spans="1:11">
      <c r="A405" t="s">
        <v>11</v>
      </c>
      <c r="B405" t="s">
        <v>53</v>
      </c>
      <c r="C405" t="s">
        <v>17</v>
      </c>
      <c r="D405" t="s">
        <v>14</v>
      </c>
      <c r="E405" t="s">
        <v>15</v>
      </c>
      <c r="F405" t="s">
        <v>16</v>
      </c>
      <c r="G405" s="6">
        <v>2025</v>
      </c>
      <c r="H405" s="2">
        <v>45155</v>
      </c>
      <c r="I405" s="2">
        <v>4595604.1494264631</v>
      </c>
      <c r="J405" s="3">
        <f>IFERROR(I405/H405,"")</f>
        <v>101.77398182762624</v>
      </c>
      <c r="K405" s="4">
        <f>IFERROR(H405/I405,"")</f>
        <v>9.825693974455001E-3</v>
      </c>
    </row>
    <row r="406" spans="1:11">
      <c r="A406" t="s">
        <v>19</v>
      </c>
      <c r="B406" t="s">
        <v>71</v>
      </c>
      <c r="C406" t="s">
        <v>36</v>
      </c>
      <c r="D406" t="s">
        <v>14</v>
      </c>
      <c r="E406" t="s">
        <v>62</v>
      </c>
      <c r="F406" t="s">
        <v>26</v>
      </c>
      <c r="G406" s="6">
        <v>2025</v>
      </c>
      <c r="H406" s="2">
        <v>39227</v>
      </c>
      <c r="I406" s="2">
        <v>3985996.5406014002</v>
      </c>
      <c r="J406" s="3">
        <f>IFERROR(I406/H406,"")</f>
        <v>101.61359626281389</v>
      </c>
      <c r="K406" s="4">
        <f>IFERROR(H406/I406,"")</f>
        <v>9.8412027206831194E-3</v>
      </c>
    </row>
    <row r="407" spans="1:11">
      <c r="A407" t="s">
        <v>19</v>
      </c>
      <c r="B407" t="s">
        <v>72</v>
      </c>
      <c r="C407" t="s">
        <v>40</v>
      </c>
      <c r="D407" t="s">
        <v>21</v>
      </c>
      <c r="E407" t="s">
        <v>15</v>
      </c>
      <c r="F407" t="s">
        <v>16</v>
      </c>
      <c r="G407" s="6" t="s">
        <v>81</v>
      </c>
      <c r="H407" s="2">
        <v>31445</v>
      </c>
      <c r="I407" s="2">
        <v>3184169.2398680001</v>
      </c>
      <c r="J407" s="3">
        <f>IFERROR(I407/H407,"")</f>
        <v>101.26154364344093</v>
      </c>
      <c r="K407" s="4">
        <f>IFERROR(H407/I407,"")</f>
        <v>9.8754173007787587E-3</v>
      </c>
    </row>
    <row r="408" spans="1:11">
      <c r="A408" t="s">
        <v>11</v>
      </c>
      <c r="B408" t="s">
        <v>31</v>
      </c>
      <c r="C408" t="s">
        <v>11</v>
      </c>
      <c r="D408" t="s">
        <v>21</v>
      </c>
      <c r="E408" t="s">
        <v>15</v>
      </c>
      <c r="F408" t="s">
        <v>16</v>
      </c>
      <c r="G408" s="6" t="s">
        <v>81</v>
      </c>
      <c r="H408" s="2">
        <v>4917</v>
      </c>
      <c r="I408" s="2">
        <v>497721.73843673099</v>
      </c>
      <c r="J408" s="3">
        <f>IFERROR(I408/H408,"")</f>
        <v>101.22467733104149</v>
      </c>
      <c r="K408" s="4">
        <f>IFERROR(H408/I408,"")</f>
        <v>9.8790139555558817E-3</v>
      </c>
    </row>
    <row r="409" spans="1:11">
      <c r="A409" t="s">
        <v>11</v>
      </c>
      <c r="B409" t="s">
        <v>23</v>
      </c>
      <c r="C409" t="s">
        <v>17</v>
      </c>
      <c r="D409" t="s">
        <v>14</v>
      </c>
      <c r="E409" t="s">
        <v>15</v>
      </c>
      <c r="F409" t="s">
        <v>16</v>
      </c>
      <c r="G409" s="6">
        <v>2024</v>
      </c>
      <c r="H409" s="2">
        <v>67147</v>
      </c>
      <c r="I409" s="2">
        <v>6788415.067935464</v>
      </c>
      <c r="J409" s="3">
        <f>IFERROR(I409/H409,"")</f>
        <v>101.0978162529296</v>
      </c>
      <c r="K409" s="4">
        <f>IFERROR(H409/I409,"")</f>
        <v>9.891410488018549E-3</v>
      </c>
    </row>
    <row r="410" spans="1:11">
      <c r="A410" t="s">
        <v>13</v>
      </c>
      <c r="B410" t="s">
        <v>55</v>
      </c>
      <c r="C410" t="s">
        <v>43</v>
      </c>
      <c r="D410" t="s">
        <v>21</v>
      </c>
      <c r="E410" t="s">
        <v>15</v>
      </c>
      <c r="F410" t="s">
        <v>16</v>
      </c>
      <c r="G410" s="6" t="s">
        <v>81</v>
      </c>
      <c r="H410" s="2">
        <v>5007</v>
      </c>
      <c r="I410" s="2">
        <v>504053.84936107468</v>
      </c>
      <c r="J410" s="3">
        <f>IFERROR(I410/H410,"")</f>
        <v>100.66983210726477</v>
      </c>
      <c r="K410" s="4">
        <f>IFERROR(H410/I410,"")</f>
        <v>9.9334624789528744E-3</v>
      </c>
    </row>
    <row r="411" spans="1:11">
      <c r="A411" t="s">
        <v>13</v>
      </c>
      <c r="B411" t="s">
        <v>23</v>
      </c>
      <c r="C411" t="s">
        <v>17</v>
      </c>
      <c r="D411" t="s">
        <v>14</v>
      </c>
      <c r="E411" t="s">
        <v>15</v>
      </c>
      <c r="F411" t="s">
        <v>16</v>
      </c>
      <c r="G411" s="6">
        <v>2025</v>
      </c>
      <c r="H411" s="2">
        <v>73224</v>
      </c>
      <c r="I411" s="2">
        <v>7311077.8176638251</v>
      </c>
      <c r="J411" s="3">
        <f>IFERROR(I411/H411,"")</f>
        <v>99.845376074290186</v>
      </c>
      <c r="K411" s="4">
        <f>IFERROR(H411/I411,"")</f>
        <v>1.0015486338154985E-2</v>
      </c>
    </row>
    <row r="412" spans="1:11">
      <c r="A412" t="s">
        <v>13</v>
      </c>
      <c r="B412" t="s">
        <v>35</v>
      </c>
      <c r="C412" t="s">
        <v>36</v>
      </c>
      <c r="D412" t="s">
        <v>21</v>
      </c>
      <c r="E412" t="s">
        <v>15</v>
      </c>
      <c r="F412" t="s">
        <v>16</v>
      </c>
      <c r="G412" s="6" t="s">
        <v>81</v>
      </c>
      <c r="H412" s="2">
        <v>25353</v>
      </c>
      <c r="I412" s="2">
        <v>2529699.5791783291</v>
      </c>
      <c r="J412" s="3">
        <f>IFERROR(I412/H412,"")</f>
        <v>99.779102243455569</v>
      </c>
      <c r="K412" s="4">
        <f>IFERROR(H412/I412,"")</f>
        <v>1.0022138679500789E-2</v>
      </c>
    </row>
    <row r="413" spans="1:11">
      <c r="A413" t="s">
        <v>13</v>
      </c>
      <c r="B413" t="s">
        <v>70</v>
      </c>
      <c r="C413" t="s">
        <v>40</v>
      </c>
      <c r="D413" t="s">
        <v>21</v>
      </c>
      <c r="E413" t="s">
        <v>15</v>
      </c>
      <c r="F413" t="s">
        <v>16</v>
      </c>
      <c r="G413" s="6">
        <v>2024</v>
      </c>
      <c r="H413" s="2">
        <v>37684</v>
      </c>
      <c r="I413" s="2">
        <v>3753476.5993850362</v>
      </c>
      <c r="J413" s="3">
        <f>IFERROR(I413/H413,"")</f>
        <v>99.603985760137888</v>
      </c>
      <c r="K413" s="4">
        <f>IFERROR(H413/I413,"")</f>
        <v>1.0039758874791997E-2</v>
      </c>
    </row>
    <row r="414" spans="1:11">
      <c r="A414" t="s">
        <v>18</v>
      </c>
      <c r="B414" t="s">
        <v>22</v>
      </c>
      <c r="C414" t="s">
        <v>17</v>
      </c>
      <c r="D414" t="s">
        <v>14</v>
      </c>
      <c r="E414" t="s">
        <v>15</v>
      </c>
      <c r="F414" t="s">
        <v>16</v>
      </c>
      <c r="G414" s="6" t="s">
        <v>81</v>
      </c>
      <c r="H414" s="2">
        <v>13104</v>
      </c>
      <c r="I414" s="2">
        <v>1302338.256490933</v>
      </c>
      <c r="J414" s="3">
        <f>IFERROR(I414/H414,"")</f>
        <v>99.384787583251907</v>
      </c>
      <c r="K414" s="4">
        <f>IFERROR(H414/I414,"")</f>
        <v>1.0061902070901218E-2</v>
      </c>
    </row>
    <row r="415" spans="1:11">
      <c r="A415" t="s">
        <v>11</v>
      </c>
      <c r="B415" t="s">
        <v>31</v>
      </c>
      <c r="C415" t="s">
        <v>11</v>
      </c>
      <c r="D415" t="s">
        <v>21</v>
      </c>
      <c r="E415" t="s">
        <v>15</v>
      </c>
      <c r="F415" t="s">
        <v>16</v>
      </c>
      <c r="G415" s="6">
        <v>2025</v>
      </c>
      <c r="H415" s="2">
        <v>14280</v>
      </c>
      <c r="I415" s="2">
        <v>1416237.0037052818</v>
      </c>
      <c r="J415" s="3">
        <f>IFERROR(I415/H415,"")</f>
        <v>99.176260763675188</v>
      </c>
      <c r="K415" s="4">
        <f>IFERROR(H415/I415,"")</f>
        <v>1.0083058105839227E-2</v>
      </c>
    </row>
    <row r="416" spans="1:11">
      <c r="A416" t="s">
        <v>13</v>
      </c>
      <c r="B416" t="s">
        <v>70</v>
      </c>
      <c r="C416" t="s">
        <v>40</v>
      </c>
      <c r="D416" t="s">
        <v>21</v>
      </c>
      <c r="E416" t="s">
        <v>15</v>
      </c>
      <c r="F416" t="s">
        <v>16</v>
      </c>
      <c r="G416" s="6" t="s">
        <v>81</v>
      </c>
      <c r="H416" s="2">
        <v>11981</v>
      </c>
      <c r="I416" s="2">
        <v>1186409.584395556</v>
      </c>
      <c r="J416" s="3">
        <f>IFERROR(I416/H416,"")</f>
        <v>99.024253768095818</v>
      </c>
      <c r="K416" s="4">
        <f>IFERROR(H416/I416,"")</f>
        <v>1.0098536085330092E-2</v>
      </c>
    </row>
    <row r="417" spans="1:11">
      <c r="A417" t="s">
        <v>18</v>
      </c>
      <c r="B417" t="s">
        <v>24</v>
      </c>
      <c r="C417" t="s">
        <v>25</v>
      </c>
      <c r="D417" t="s">
        <v>14</v>
      </c>
      <c r="E417" t="s">
        <v>15</v>
      </c>
      <c r="F417" t="s">
        <v>26</v>
      </c>
      <c r="G417" s="6">
        <v>2025</v>
      </c>
      <c r="H417" s="2">
        <v>25556</v>
      </c>
      <c r="I417" s="2">
        <v>2525276.2652549949</v>
      </c>
      <c r="J417" s="3">
        <f>IFERROR(I417/H417,"")</f>
        <v>98.813439711026561</v>
      </c>
      <c r="K417" s="4">
        <f>IFERROR(H417/I417,"")</f>
        <v>1.0120080860705129E-2</v>
      </c>
    </row>
    <row r="418" spans="1:11">
      <c r="A418" t="s">
        <v>17</v>
      </c>
      <c r="B418" t="s">
        <v>56</v>
      </c>
      <c r="C418" t="s">
        <v>40</v>
      </c>
      <c r="D418" t="s">
        <v>21</v>
      </c>
      <c r="E418" t="s">
        <v>15</v>
      </c>
      <c r="F418" t="s">
        <v>16</v>
      </c>
      <c r="G418" s="6" t="s">
        <v>82</v>
      </c>
      <c r="H418" s="2">
        <v>11450</v>
      </c>
      <c r="I418" s="2">
        <v>1131215.520827356</v>
      </c>
      <c r="J418" s="3">
        <f>IFERROR(I418/H418,"")</f>
        <v>98.79611535610097</v>
      </c>
      <c r="K418" s="4">
        <f>IFERROR(H418/I418,"")</f>
        <v>1.0121855463603984E-2</v>
      </c>
    </row>
    <row r="419" spans="1:11">
      <c r="A419" t="s">
        <v>18</v>
      </c>
      <c r="B419" t="s">
        <v>64</v>
      </c>
      <c r="C419" t="s">
        <v>11</v>
      </c>
      <c r="D419" t="s">
        <v>21</v>
      </c>
      <c r="E419" t="s">
        <v>15</v>
      </c>
      <c r="F419" t="s">
        <v>16</v>
      </c>
      <c r="G419" s="6">
        <v>2024</v>
      </c>
      <c r="H419" s="2">
        <v>64237</v>
      </c>
      <c r="I419" s="2">
        <v>6338230.055116768</v>
      </c>
      <c r="J419" s="3">
        <f>IFERROR(I419/H419,"")</f>
        <v>98.669459269840871</v>
      </c>
      <c r="K419" s="4">
        <f>IFERROR(H419/I419,"")</f>
        <v>1.0134848284363287E-2</v>
      </c>
    </row>
    <row r="420" spans="1:11">
      <c r="A420" t="s">
        <v>19</v>
      </c>
      <c r="B420" t="s">
        <v>70</v>
      </c>
      <c r="C420" t="s">
        <v>40</v>
      </c>
      <c r="D420" t="s">
        <v>21</v>
      </c>
      <c r="E420" t="s">
        <v>15</v>
      </c>
      <c r="F420" t="s">
        <v>16</v>
      </c>
      <c r="G420" s="6">
        <v>2025</v>
      </c>
      <c r="H420" s="2">
        <v>17240</v>
      </c>
      <c r="I420" s="2">
        <v>1688269.0942421346</v>
      </c>
      <c r="J420" s="3">
        <f>IFERROR(I420/H420,"")</f>
        <v>97.927441661376719</v>
      </c>
      <c r="K420" s="4">
        <f>IFERROR(H420/I420,"")</f>
        <v>1.0211642242813816E-2</v>
      </c>
    </row>
    <row r="421" spans="1:11">
      <c r="A421" t="s">
        <v>18</v>
      </c>
      <c r="B421" t="s">
        <v>46</v>
      </c>
      <c r="C421" t="s">
        <v>38</v>
      </c>
      <c r="D421" t="s">
        <v>21</v>
      </c>
      <c r="E421" t="s">
        <v>15</v>
      </c>
      <c r="F421" t="s">
        <v>16</v>
      </c>
      <c r="G421" s="6" t="s">
        <v>82</v>
      </c>
      <c r="H421" s="2">
        <v>20551</v>
      </c>
      <c r="I421" s="2">
        <v>2012264.7748488199</v>
      </c>
      <c r="J421" s="3">
        <f>IFERROR(I421/H421,"")</f>
        <v>97.915662247521766</v>
      </c>
      <c r="K421" s="4">
        <f>IFERROR(H421/I421,"")</f>
        <v>1.0212870720029367E-2</v>
      </c>
    </row>
    <row r="422" spans="1:11">
      <c r="A422" t="s">
        <v>13</v>
      </c>
      <c r="B422" t="s">
        <v>66</v>
      </c>
      <c r="C422" t="s">
        <v>67</v>
      </c>
      <c r="D422" t="s">
        <v>21</v>
      </c>
      <c r="E422" t="s">
        <v>15</v>
      </c>
      <c r="F422" t="s">
        <v>16</v>
      </c>
      <c r="G422" s="6" t="s">
        <v>81</v>
      </c>
      <c r="H422" s="2">
        <v>13023</v>
      </c>
      <c r="I422" s="2">
        <v>1263660.8425694741</v>
      </c>
      <c r="J422" s="3">
        <f>IFERROR(I422/H422,"")</f>
        <v>97.03300641706781</v>
      </c>
      <c r="K422" s="4">
        <f>IFERROR(H422/I422,"")</f>
        <v>1.0305771581494594E-2</v>
      </c>
    </row>
    <row r="423" spans="1:11">
      <c r="A423" t="s">
        <v>17</v>
      </c>
      <c r="B423" t="s">
        <v>64</v>
      </c>
      <c r="C423" t="s">
        <v>11</v>
      </c>
      <c r="D423" t="s">
        <v>21</v>
      </c>
      <c r="E423" t="s">
        <v>15</v>
      </c>
      <c r="F423" t="s">
        <v>16</v>
      </c>
      <c r="G423" s="6" t="s">
        <v>82</v>
      </c>
      <c r="H423" s="2">
        <v>18842</v>
      </c>
      <c r="I423" s="2">
        <v>1822651.2681523869</v>
      </c>
      <c r="J423" s="3">
        <f>IFERROR(I423/H423,"")</f>
        <v>96.733428943444792</v>
      </c>
      <c r="K423" s="4">
        <f>IFERROR(H423/I423,"")</f>
        <v>1.0337687921562772E-2</v>
      </c>
    </row>
    <row r="424" spans="1:11">
      <c r="A424" t="s">
        <v>17</v>
      </c>
      <c r="B424" t="s">
        <v>72</v>
      </c>
      <c r="C424" t="s">
        <v>40</v>
      </c>
      <c r="D424" t="s">
        <v>21</v>
      </c>
      <c r="E424" t="s">
        <v>15</v>
      </c>
      <c r="F424" t="s">
        <v>16</v>
      </c>
      <c r="G424" s="6" t="s">
        <v>81</v>
      </c>
      <c r="H424" s="2">
        <v>24653</v>
      </c>
      <c r="I424" s="2">
        <v>2382429.4072335442</v>
      </c>
      <c r="J424" s="3">
        <f>IFERROR(I424/H424,"")</f>
        <v>96.638518932119581</v>
      </c>
      <c r="K424" s="4">
        <f>IFERROR(H424/I424,"")</f>
        <v>1.0347840706275887E-2</v>
      </c>
    </row>
    <row r="425" spans="1:11">
      <c r="A425" t="s">
        <v>13</v>
      </c>
      <c r="B425" t="s">
        <v>23</v>
      </c>
      <c r="C425" t="s">
        <v>17</v>
      </c>
      <c r="D425" t="s">
        <v>14</v>
      </c>
      <c r="E425" t="s">
        <v>15</v>
      </c>
      <c r="F425" t="s">
        <v>16</v>
      </c>
      <c r="G425" s="6" t="s">
        <v>81</v>
      </c>
      <c r="H425" s="2">
        <v>26175</v>
      </c>
      <c r="I425" s="2">
        <v>2528909.0889652902</v>
      </c>
      <c r="J425" s="3">
        <f>IFERROR(I425/H425,"")</f>
        <v>96.615437973841082</v>
      </c>
      <c r="K425" s="4">
        <f>IFERROR(H425/I425,"")</f>
        <v>1.0350312755097721E-2</v>
      </c>
    </row>
    <row r="426" spans="1:11">
      <c r="A426" t="s">
        <v>18</v>
      </c>
      <c r="B426" t="s">
        <v>66</v>
      </c>
      <c r="C426" t="s">
        <v>67</v>
      </c>
      <c r="D426" t="s">
        <v>21</v>
      </c>
      <c r="E426" t="s">
        <v>15</v>
      </c>
      <c r="F426" t="s">
        <v>16</v>
      </c>
      <c r="G426" s="6">
        <v>2024</v>
      </c>
      <c r="H426" s="2">
        <v>38255</v>
      </c>
      <c r="I426" s="2">
        <v>3696000</v>
      </c>
      <c r="J426" s="3">
        <f>IFERROR(I426/H426,"")</f>
        <v>96.614821591948768</v>
      </c>
      <c r="K426" s="4">
        <f>IFERROR(H426/I426,"")</f>
        <v>1.0350378787878789E-2</v>
      </c>
    </row>
    <row r="427" spans="1:11">
      <c r="A427" t="s">
        <v>19</v>
      </c>
      <c r="B427" t="s">
        <v>72</v>
      </c>
      <c r="C427" t="s">
        <v>40</v>
      </c>
      <c r="D427" t="s">
        <v>21</v>
      </c>
      <c r="E427" t="s">
        <v>15</v>
      </c>
      <c r="F427" t="s">
        <v>16</v>
      </c>
      <c r="G427" s="6">
        <v>2025</v>
      </c>
      <c r="H427" s="2">
        <v>84853</v>
      </c>
      <c r="I427" s="2">
        <v>8196657.5379772736</v>
      </c>
      <c r="J427" s="3">
        <f>IFERROR(I427/H427,"")</f>
        <v>96.598323429663935</v>
      </c>
      <c r="K427" s="4">
        <f>IFERROR(H427/I427,"")</f>
        <v>1.0352146543496992E-2</v>
      </c>
    </row>
    <row r="428" spans="1:11">
      <c r="A428" t="s">
        <v>13</v>
      </c>
      <c r="B428" t="s">
        <v>23</v>
      </c>
      <c r="C428" t="s">
        <v>17</v>
      </c>
      <c r="D428" t="s">
        <v>14</v>
      </c>
      <c r="E428" t="s">
        <v>15</v>
      </c>
      <c r="F428" t="s">
        <v>16</v>
      </c>
      <c r="G428" s="6" t="s">
        <v>82</v>
      </c>
      <c r="H428" s="2">
        <v>27529</v>
      </c>
      <c r="I428" s="2">
        <v>2657058.001928227</v>
      </c>
      <c r="J428" s="3">
        <f>IFERROR(I428/H428,"")</f>
        <v>96.518507825501359</v>
      </c>
      <c r="K428" s="4">
        <f>IFERROR(H428/I428,"")</f>
        <v>1.0360707210765518E-2</v>
      </c>
    </row>
    <row r="429" spans="1:11">
      <c r="A429" t="s">
        <v>13</v>
      </c>
      <c r="B429" t="s">
        <v>12</v>
      </c>
      <c r="C429" t="s">
        <v>13</v>
      </c>
      <c r="D429" t="s">
        <v>14</v>
      </c>
      <c r="E429" t="s">
        <v>15</v>
      </c>
      <c r="F429" t="s">
        <v>16</v>
      </c>
      <c r="G429" s="6">
        <v>2024</v>
      </c>
      <c r="H429" s="2">
        <v>22878</v>
      </c>
      <c r="I429" s="2">
        <v>2193368.0770302559</v>
      </c>
      <c r="J429" s="3">
        <f>IFERROR(I429/H429,"")</f>
        <v>95.87236983260145</v>
      </c>
      <c r="K429" s="4">
        <f>IFERROR(H429/I429,"")</f>
        <v>1.0430533862321921E-2</v>
      </c>
    </row>
    <row r="430" spans="1:11">
      <c r="A430" t="s">
        <v>13</v>
      </c>
      <c r="B430" t="s">
        <v>64</v>
      </c>
      <c r="C430" t="s">
        <v>11</v>
      </c>
      <c r="D430" t="s">
        <v>21</v>
      </c>
      <c r="E430" t="s">
        <v>15</v>
      </c>
      <c r="F430" t="s">
        <v>16</v>
      </c>
      <c r="G430" s="6">
        <v>2025</v>
      </c>
      <c r="H430" s="2">
        <v>74326</v>
      </c>
      <c r="I430" s="2">
        <v>7104628.6003043167</v>
      </c>
      <c r="J430" s="3">
        <f>IFERROR(I430/H430,"")</f>
        <v>95.587393379225531</v>
      </c>
      <c r="K430" s="4">
        <f>IFERROR(H430/I430,"")</f>
        <v>1.0461630604704144E-2</v>
      </c>
    </row>
    <row r="431" spans="1:11">
      <c r="A431" t="s">
        <v>19</v>
      </c>
      <c r="B431" t="s">
        <v>60</v>
      </c>
      <c r="C431" t="s">
        <v>61</v>
      </c>
      <c r="D431" t="s">
        <v>14</v>
      </c>
      <c r="E431" t="s">
        <v>62</v>
      </c>
      <c r="F431" t="s">
        <v>16</v>
      </c>
      <c r="G431" s="6" t="s">
        <v>82</v>
      </c>
      <c r="H431" s="2">
        <v>5227</v>
      </c>
      <c r="I431" s="2">
        <v>496902.51152818697</v>
      </c>
      <c r="J431" s="3">
        <f>IFERROR(I431/H431,"")</f>
        <v>95.064570791694464</v>
      </c>
      <c r="K431" s="4">
        <f>IFERROR(H431/I431,"")</f>
        <v>1.0519165990779051E-2</v>
      </c>
    </row>
    <row r="432" spans="1:11">
      <c r="A432" t="s">
        <v>11</v>
      </c>
      <c r="B432" t="s">
        <v>44</v>
      </c>
      <c r="C432" t="s">
        <v>36</v>
      </c>
      <c r="D432" t="s">
        <v>21</v>
      </c>
      <c r="E432" t="s">
        <v>15</v>
      </c>
      <c r="F432" t="s">
        <v>16</v>
      </c>
      <c r="G432" s="6" t="s">
        <v>81</v>
      </c>
      <c r="H432" s="2">
        <v>3504</v>
      </c>
      <c r="I432" s="2">
        <v>332078.02963578689</v>
      </c>
      <c r="J432" s="3">
        <f>IFERROR(I432/H432,"")</f>
        <v>94.771127179162931</v>
      </c>
      <c r="K432" s="4">
        <f>IFERROR(H432/I432,"")</f>
        <v>1.0551736903049808E-2</v>
      </c>
    </row>
    <row r="433" spans="1:11">
      <c r="A433" t="s">
        <v>13</v>
      </c>
      <c r="B433" t="s">
        <v>55</v>
      </c>
      <c r="C433" t="s">
        <v>43</v>
      </c>
      <c r="D433" t="s">
        <v>21</v>
      </c>
      <c r="E433" t="s">
        <v>15</v>
      </c>
      <c r="F433" t="s">
        <v>16</v>
      </c>
      <c r="G433" s="6" t="s">
        <v>82</v>
      </c>
      <c r="H433" s="2">
        <v>6439</v>
      </c>
      <c r="I433" s="2">
        <v>607140.90061722207</v>
      </c>
      <c r="J433" s="3">
        <f>IFERROR(I433/H433,"")</f>
        <v>94.291178850321799</v>
      </c>
      <c r="K433" s="4">
        <f>IFERROR(H433/I433,"")</f>
        <v>1.060544594089129E-2</v>
      </c>
    </row>
    <row r="434" spans="1:11">
      <c r="A434" t="s">
        <v>11</v>
      </c>
      <c r="B434" t="s">
        <v>35</v>
      </c>
      <c r="C434" t="s">
        <v>36</v>
      </c>
      <c r="D434" t="s">
        <v>21</v>
      </c>
      <c r="E434" t="s">
        <v>15</v>
      </c>
      <c r="F434" t="s">
        <v>16</v>
      </c>
      <c r="G434" s="6">
        <v>2024</v>
      </c>
      <c r="H434" s="2">
        <v>43623</v>
      </c>
      <c r="I434" s="2">
        <v>4097092.8511580019</v>
      </c>
      <c r="J434" s="3">
        <f>IFERROR(I434/H434,"")</f>
        <v>93.920474317630649</v>
      </c>
      <c r="K434" s="4">
        <f>IFERROR(H434/I434,"")</f>
        <v>1.064730568350932E-2</v>
      </c>
    </row>
    <row r="435" spans="1:11">
      <c r="A435" t="s">
        <v>18</v>
      </c>
      <c r="B435" t="s">
        <v>41</v>
      </c>
      <c r="C435" t="s">
        <v>38</v>
      </c>
      <c r="D435" t="s">
        <v>21</v>
      </c>
      <c r="E435" t="s">
        <v>15</v>
      </c>
      <c r="F435" t="s">
        <v>16</v>
      </c>
      <c r="G435" s="6">
        <v>2025</v>
      </c>
      <c r="H435" s="2">
        <v>68568</v>
      </c>
      <c r="I435" s="2">
        <v>6434205.9435373824</v>
      </c>
      <c r="J435" s="3">
        <f>IFERROR(I435/H435,"")</f>
        <v>93.836861853012806</v>
      </c>
      <c r="K435" s="4">
        <f>IFERROR(H435/I435,"")</f>
        <v>1.0656792866394147E-2</v>
      </c>
    </row>
    <row r="436" spans="1:11">
      <c r="A436" t="s">
        <v>13</v>
      </c>
      <c r="B436" t="s">
        <v>55</v>
      </c>
      <c r="C436" t="s">
        <v>43</v>
      </c>
      <c r="D436" t="s">
        <v>21</v>
      </c>
      <c r="E436" t="s">
        <v>15</v>
      </c>
      <c r="F436" t="s">
        <v>16</v>
      </c>
      <c r="G436" s="6">
        <v>2025</v>
      </c>
      <c r="H436" s="2">
        <v>16256</v>
      </c>
      <c r="I436" s="2">
        <v>1523830.796750359</v>
      </c>
      <c r="J436" s="3">
        <f>IFERROR(I436/H436,"")</f>
        <v>93.739591335528971</v>
      </c>
      <c r="K436" s="4">
        <f>IFERROR(H436/I436,"")</f>
        <v>1.0667851072879408E-2</v>
      </c>
    </row>
    <row r="437" spans="1:11">
      <c r="A437" t="s">
        <v>17</v>
      </c>
      <c r="B437" t="s">
        <v>72</v>
      </c>
      <c r="C437" t="s">
        <v>40</v>
      </c>
      <c r="D437" t="s">
        <v>21</v>
      </c>
      <c r="E437" t="s">
        <v>15</v>
      </c>
      <c r="F437" t="s">
        <v>16</v>
      </c>
      <c r="G437" s="6">
        <v>2025</v>
      </c>
      <c r="H437" s="2">
        <v>87578</v>
      </c>
      <c r="I437" s="2">
        <v>8173741.2601448521</v>
      </c>
      <c r="J437" s="3">
        <f>IFERROR(I437/H437,"")</f>
        <v>93.330987920994446</v>
      </c>
      <c r="K437" s="4">
        <f>IFERROR(H437/I437,"")</f>
        <v>1.0714554964815215E-2</v>
      </c>
    </row>
    <row r="438" spans="1:11">
      <c r="A438" t="s">
        <v>18</v>
      </c>
      <c r="B438" t="s">
        <v>24</v>
      </c>
      <c r="C438" t="s">
        <v>25</v>
      </c>
      <c r="D438" t="s">
        <v>14</v>
      </c>
      <c r="E438" t="s">
        <v>15</v>
      </c>
      <c r="F438" t="s">
        <v>26</v>
      </c>
      <c r="G438" s="6" t="s">
        <v>82</v>
      </c>
      <c r="H438" s="2">
        <v>13467</v>
      </c>
      <c r="I438" s="2">
        <v>1256062.797265467</v>
      </c>
      <c r="J438" s="3">
        <f>IFERROR(I438/H438,"")</f>
        <v>93.26968124047427</v>
      </c>
      <c r="K438" s="4">
        <f>IFERROR(H438/I438,"")</f>
        <v>1.0721597701419517E-2</v>
      </c>
    </row>
    <row r="439" spans="1:11">
      <c r="A439" t="s">
        <v>18</v>
      </c>
      <c r="B439" t="s">
        <v>34</v>
      </c>
      <c r="C439" t="s">
        <v>13</v>
      </c>
      <c r="D439" t="s">
        <v>21</v>
      </c>
      <c r="E439" t="s">
        <v>15</v>
      </c>
      <c r="F439" t="s">
        <v>16</v>
      </c>
      <c r="G439" s="6" t="s">
        <v>81</v>
      </c>
      <c r="H439" s="2">
        <v>3996</v>
      </c>
      <c r="I439" s="2">
        <v>371922.04741070559</v>
      </c>
      <c r="J439" s="3">
        <f>IFERROR(I439/H439,"")</f>
        <v>93.073585438114506</v>
      </c>
      <c r="K439" s="4">
        <f>IFERROR(H439/I439,"")</f>
        <v>1.0744186927932515E-2</v>
      </c>
    </row>
    <row r="440" spans="1:11">
      <c r="A440" t="s">
        <v>18</v>
      </c>
      <c r="B440" t="s">
        <v>80</v>
      </c>
      <c r="C440" t="s">
        <v>25</v>
      </c>
      <c r="D440" t="s">
        <v>14</v>
      </c>
      <c r="E440" t="s">
        <v>15</v>
      </c>
      <c r="F440" t="s">
        <v>26</v>
      </c>
      <c r="G440" s="6">
        <v>2025</v>
      </c>
      <c r="H440" s="2">
        <v>698</v>
      </c>
      <c r="I440" s="2">
        <v>64786</v>
      </c>
      <c r="J440" s="3">
        <f>IFERROR(I440/H440,"")</f>
        <v>92.816618911174785</v>
      </c>
      <c r="K440" s="4">
        <f>IFERROR(H440/I440,"")</f>
        <v>1.0773932639767851E-2</v>
      </c>
    </row>
    <row r="441" spans="1:11">
      <c r="A441" t="s">
        <v>19</v>
      </c>
      <c r="B441" t="s">
        <v>70</v>
      </c>
      <c r="C441" t="s">
        <v>40</v>
      </c>
      <c r="D441" t="s">
        <v>21</v>
      </c>
      <c r="E441" t="s">
        <v>15</v>
      </c>
      <c r="F441" t="s">
        <v>16</v>
      </c>
      <c r="G441" s="6" t="s">
        <v>81</v>
      </c>
      <c r="H441" s="2">
        <v>6940</v>
      </c>
      <c r="I441" s="2">
        <v>643571.791424867</v>
      </c>
      <c r="J441" s="3">
        <f>IFERROR(I441/H441,"")</f>
        <v>92.73368752519697</v>
      </c>
      <c r="K441" s="4">
        <f>IFERROR(H441/I441,"")</f>
        <v>1.078356772697394E-2</v>
      </c>
    </row>
    <row r="442" spans="1:11">
      <c r="A442" t="s">
        <v>18</v>
      </c>
      <c r="B442" t="s">
        <v>41</v>
      </c>
      <c r="C442" t="s">
        <v>38</v>
      </c>
      <c r="D442" t="s">
        <v>21</v>
      </c>
      <c r="E442" t="s">
        <v>15</v>
      </c>
      <c r="F442" t="s">
        <v>16</v>
      </c>
      <c r="G442" s="6">
        <v>2024</v>
      </c>
      <c r="H442" s="2">
        <v>64855</v>
      </c>
      <c r="I442" s="2">
        <v>6007041.9120899448</v>
      </c>
      <c r="J442" s="3">
        <f>IFERROR(I442/H442,"")</f>
        <v>92.622649172614985</v>
      </c>
      <c r="K442" s="4">
        <f>IFERROR(H442/I442,"")</f>
        <v>1.0796495338158199E-2</v>
      </c>
    </row>
    <row r="443" spans="1:11">
      <c r="A443" t="s">
        <v>18</v>
      </c>
      <c r="B443" t="s">
        <v>55</v>
      </c>
      <c r="C443" t="s">
        <v>43</v>
      </c>
      <c r="D443" t="s">
        <v>21</v>
      </c>
      <c r="E443" t="s">
        <v>15</v>
      </c>
      <c r="F443" t="s">
        <v>16</v>
      </c>
      <c r="G443" s="6" t="s">
        <v>82</v>
      </c>
      <c r="H443" s="2">
        <v>3382</v>
      </c>
      <c r="I443" s="2">
        <v>312327.45825190342</v>
      </c>
      <c r="J443" s="3">
        <f>IFERROR(I443/H443,"")</f>
        <v>92.34992851919084</v>
      </c>
      <c r="K443" s="4">
        <f>IFERROR(H443/I443,"")</f>
        <v>1.0828378711654273E-2</v>
      </c>
    </row>
    <row r="444" spans="1:11">
      <c r="A444" t="s">
        <v>13</v>
      </c>
      <c r="B444" t="s">
        <v>74</v>
      </c>
      <c r="C444" t="s">
        <v>61</v>
      </c>
      <c r="D444" t="s">
        <v>14</v>
      </c>
      <c r="E444" t="s">
        <v>15</v>
      </c>
      <c r="F444" t="s">
        <v>16</v>
      </c>
      <c r="G444" s="6">
        <v>2024</v>
      </c>
      <c r="H444" s="2">
        <v>19243</v>
      </c>
      <c r="I444" s="2">
        <v>1776617.1131353909</v>
      </c>
      <c r="J444" s="3">
        <f>IFERROR(I444/H444,"")</f>
        <v>92.32537094711796</v>
      </c>
      <c r="K444" s="4">
        <f>IFERROR(H444/I444,"")</f>
        <v>1.083125894585118E-2</v>
      </c>
    </row>
    <row r="445" spans="1:11">
      <c r="A445" t="s">
        <v>11</v>
      </c>
      <c r="B445" t="s">
        <v>22</v>
      </c>
      <c r="C445" t="s">
        <v>17</v>
      </c>
      <c r="D445" t="s">
        <v>14</v>
      </c>
      <c r="E445" t="s">
        <v>15</v>
      </c>
      <c r="F445" t="s">
        <v>16</v>
      </c>
      <c r="G445" s="6" t="s">
        <v>81</v>
      </c>
      <c r="H445" s="2">
        <v>14424</v>
      </c>
      <c r="I445" s="2">
        <v>1329850.349050059</v>
      </c>
      <c r="J445" s="3">
        <f>IFERROR(I445/H445,"")</f>
        <v>92.197056922494383</v>
      </c>
      <c r="K445" s="4">
        <f>IFERROR(H445/I445,"")</f>
        <v>1.0846333206065914E-2</v>
      </c>
    </row>
    <row r="446" spans="1:11">
      <c r="A446" t="s">
        <v>18</v>
      </c>
      <c r="B446" t="s">
        <v>46</v>
      </c>
      <c r="C446" t="s">
        <v>38</v>
      </c>
      <c r="D446" t="s">
        <v>21</v>
      </c>
      <c r="E446" t="s">
        <v>15</v>
      </c>
      <c r="F446" t="s">
        <v>16</v>
      </c>
      <c r="G446" s="6">
        <v>2025</v>
      </c>
      <c r="H446" s="2">
        <v>61708</v>
      </c>
      <c r="I446" s="2">
        <v>5687876.2488754364</v>
      </c>
      <c r="J446" s="3">
        <f>IFERROR(I446/H446,"")</f>
        <v>92.17404953774934</v>
      </c>
      <c r="K446" s="4">
        <f>IFERROR(H446/I446,"")</f>
        <v>1.0849040538144696E-2</v>
      </c>
    </row>
    <row r="447" spans="1:11">
      <c r="A447" t="s">
        <v>11</v>
      </c>
      <c r="B447" t="s">
        <v>46</v>
      </c>
      <c r="C447" t="s">
        <v>38</v>
      </c>
      <c r="D447" t="s">
        <v>21</v>
      </c>
      <c r="E447" t="s">
        <v>15</v>
      </c>
      <c r="F447" t="s">
        <v>16</v>
      </c>
      <c r="G447" s="6">
        <v>2024</v>
      </c>
      <c r="H447" s="2">
        <v>43861</v>
      </c>
      <c r="I447" s="2">
        <v>4035419.5026434148</v>
      </c>
      <c r="J447" s="3">
        <f>IFERROR(I447/H447,"")</f>
        <v>92.004730914557683</v>
      </c>
      <c r="K447" s="4">
        <f>IFERROR(H447/I447,"")</f>
        <v>1.0869006300650703E-2</v>
      </c>
    </row>
    <row r="448" spans="1:11">
      <c r="A448" t="s">
        <v>18</v>
      </c>
      <c r="B448" t="s">
        <v>75</v>
      </c>
      <c r="C448" t="s">
        <v>17</v>
      </c>
      <c r="D448" t="s">
        <v>21</v>
      </c>
      <c r="E448" t="s">
        <v>15</v>
      </c>
      <c r="F448" t="s">
        <v>16</v>
      </c>
      <c r="G448" s="6">
        <v>2024</v>
      </c>
      <c r="H448" s="2">
        <v>66904</v>
      </c>
      <c r="I448" s="2">
        <v>6134620.946411022</v>
      </c>
      <c r="J448" s="3">
        <f>IFERROR(I448/H448,"")</f>
        <v>91.692887516606206</v>
      </c>
      <c r="K448" s="4">
        <f>IFERROR(H448/I448,"")</f>
        <v>1.09059713035964E-2</v>
      </c>
    </row>
    <row r="449" spans="1:11">
      <c r="A449" t="s">
        <v>17</v>
      </c>
      <c r="B449" t="s">
        <v>45</v>
      </c>
      <c r="C449" t="s">
        <v>38</v>
      </c>
      <c r="D449" t="s">
        <v>21</v>
      </c>
      <c r="E449" t="s">
        <v>15</v>
      </c>
      <c r="F449" t="s">
        <v>16</v>
      </c>
      <c r="G449" s="6">
        <v>2024</v>
      </c>
      <c r="H449" s="2">
        <v>2186</v>
      </c>
      <c r="I449" s="2">
        <v>200000</v>
      </c>
      <c r="J449" s="3">
        <f>IFERROR(I449/H449,"")</f>
        <v>91.491308325709056</v>
      </c>
      <c r="K449" s="4">
        <f>IFERROR(H449/I449,"")</f>
        <v>1.093E-2</v>
      </c>
    </row>
    <row r="450" spans="1:11">
      <c r="A450" t="s">
        <v>19</v>
      </c>
      <c r="B450" t="s">
        <v>65</v>
      </c>
      <c r="C450" t="s">
        <v>18</v>
      </c>
      <c r="D450" t="s">
        <v>21</v>
      </c>
      <c r="E450" t="s">
        <v>15</v>
      </c>
      <c r="F450" t="s">
        <v>16</v>
      </c>
      <c r="G450" s="6">
        <v>2025</v>
      </c>
      <c r="H450" s="2">
        <v>16297</v>
      </c>
      <c r="I450" s="2">
        <v>1490799.3233256813</v>
      </c>
      <c r="J450" s="3">
        <f>IFERROR(I450/H450,"")</f>
        <v>91.476917428096044</v>
      </c>
      <c r="K450" s="4">
        <f>IFERROR(H450/I450,"")</f>
        <v>1.0931719477605198E-2</v>
      </c>
    </row>
    <row r="451" spans="1:11">
      <c r="A451" t="s">
        <v>17</v>
      </c>
      <c r="B451" t="s">
        <v>29</v>
      </c>
      <c r="C451" t="s">
        <v>30</v>
      </c>
      <c r="D451" t="s">
        <v>21</v>
      </c>
      <c r="E451" t="s">
        <v>15</v>
      </c>
      <c r="F451" t="s">
        <v>16</v>
      </c>
      <c r="G451" s="6" t="s">
        <v>81</v>
      </c>
      <c r="H451" s="2">
        <v>22585</v>
      </c>
      <c r="I451" s="2">
        <v>2065558.0706069509</v>
      </c>
      <c r="J451" s="3">
        <f>IFERROR(I451/H451,"")</f>
        <v>91.457076405001146</v>
      </c>
      <c r="K451" s="4">
        <f>IFERROR(H451/I451,"")</f>
        <v>1.0934091043668185E-2</v>
      </c>
    </row>
    <row r="452" spans="1:11">
      <c r="A452" t="s">
        <v>17</v>
      </c>
      <c r="B452" t="s">
        <v>41</v>
      </c>
      <c r="C452" t="s">
        <v>38</v>
      </c>
      <c r="D452" t="s">
        <v>21</v>
      </c>
      <c r="E452" t="s">
        <v>15</v>
      </c>
      <c r="F452" t="s">
        <v>16</v>
      </c>
      <c r="G452" s="6">
        <v>2025</v>
      </c>
      <c r="H452" s="2">
        <v>93839</v>
      </c>
      <c r="I452" s="2">
        <v>8545924.2790372875</v>
      </c>
      <c r="J452" s="3">
        <f>IFERROR(I452/H452,"")</f>
        <v>91.07006979014362</v>
      </c>
      <c r="K452" s="4">
        <f>IFERROR(H452/I452,"")</f>
        <v>1.098055598622401E-2</v>
      </c>
    </row>
    <row r="453" spans="1:11">
      <c r="A453" t="s">
        <v>11</v>
      </c>
      <c r="B453" t="s">
        <v>55</v>
      </c>
      <c r="C453" t="s">
        <v>43</v>
      </c>
      <c r="D453" t="s">
        <v>21</v>
      </c>
      <c r="E453" t="s">
        <v>15</v>
      </c>
      <c r="F453" t="s">
        <v>16</v>
      </c>
      <c r="G453" s="6" t="s">
        <v>81</v>
      </c>
      <c r="H453" s="2">
        <v>7794</v>
      </c>
      <c r="I453" s="2">
        <v>708842.09733696701</v>
      </c>
      <c r="J453" s="3">
        <f>IFERROR(I453/H453,"")</f>
        <v>90.947151313442006</v>
      </c>
      <c r="K453" s="4">
        <f>IFERROR(H453/I453,"")</f>
        <v>1.0995396618345756E-2</v>
      </c>
    </row>
    <row r="454" spans="1:11">
      <c r="A454" t="s">
        <v>11</v>
      </c>
      <c r="B454" t="s">
        <v>22</v>
      </c>
      <c r="C454" t="s">
        <v>17</v>
      </c>
      <c r="D454" t="s">
        <v>14</v>
      </c>
      <c r="E454" t="s">
        <v>15</v>
      </c>
      <c r="F454" t="s">
        <v>16</v>
      </c>
      <c r="G454" s="6">
        <v>2025</v>
      </c>
      <c r="H454" s="2">
        <v>48756</v>
      </c>
      <c r="I454" s="2">
        <v>4406553.6051536789</v>
      </c>
      <c r="J454" s="3">
        <f>IFERROR(I454/H454,"")</f>
        <v>90.379719524851893</v>
      </c>
      <c r="K454" s="4">
        <f>IFERROR(H454/I454,"")</f>
        <v>1.1064429113713149E-2</v>
      </c>
    </row>
    <row r="455" spans="1:11">
      <c r="A455" t="s">
        <v>18</v>
      </c>
      <c r="B455" t="s">
        <v>27</v>
      </c>
      <c r="C455" t="s">
        <v>11</v>
      </c>
      <c r="D455" t="s">
        <v>21</v>
      </c>
      <c r="E455" t="s">
        <v>15</v>
      </c>
      <c r="F455" t="s">
        <v>16</v>
      </c>
      <c r="G455" s="6">
        <v>2025</v>
      </c>
      <c r="H455" s="2">
        <v>34286</v>
      </c>
      <c r="I455" s="2">
        <v>3093189.6907736398</v>
      </c>
      <c r="J455" s="3">
        <f>IFERROR(I455/H455,"")</f>
        <v>90.217280836890851</v>
      </c>
      <c r="K455" s="4">
        <f>IFERROR(H455/I455,"")</f>
        <v>1.1084350921725951E-2</v>
      </c>
    </row>
    <row r="456" spans="1:11">
      <c r="A456" t="s">
        <v>18</v>
      </c>
      <c r="B456" t="s">
        <v>66</v>
      </c>
      <c r="C456" t="s">
        <v>67</v>
      </c>
      <c r="D456" t="s">
        <v>21</v>
      </c>
      <c r="E456" t="s">
        <v>15</v>
      </c>
      <c r="F456" t="s">
        <v>16</v>
      </c>
      <c r="G456" s="6">
        <v>2025</v>
      </c>
      <c r="H456" s="2">
        <v>42387</v>
      </c>
      <c r="I456" s="2">
        <v>3812000</v>
      </c>
      <c r="J456" s="3">
        <f>IFERROR(I456/H456,"")</f>
        <v>89.933234246349116</v>
      </c>
      <c r="K456" s="4">
        <f>IFERROR(H456/I456,"")</f>
        <v>1.1119359916054564E-2</v>
      </c>
    </row>
    <row r="457" spans="1:11">
      <c r="A457" t="s">
        <v>11</v>
      </c>
      <c r="B457" t="s">
        <v>31</v>
      </c>
      <c r="C457" t="s">
        <v>11</v>
      </c>
      <c r="D457" t="s">
        <v>21</v>
      </c>
      <c r="E457" t="s">
        <v>15</v>
      </c>
      <c r="F457" t="s">
        <v>16</v>
      </c>
      <c r="G457" s="6">
        <v>2024</v>
      </c>
      <c r="H457" s="2">
        <v>18024</v>
      </c>
      <c r="I457" s="2">
        <v>1617825.5243597133</v>
      </c>
      <c r="J457" s="3">
        <f>IFERROR(I457/H457,"")</f>
        <v>89.759516442505173</v>
      </c>
      <c r="K457" s="4">
        <f>IFERROR(H457/I457,"")</f>
        <v>1.1140879982798736E-2</v>
      </c>
    </row>
    <row r="458" spans="1:11">
      <c r="A458" t="s">
        <v>11</v>
      </c>
      <c r="B458" t="s">
        <v>66</v>
      </c>
      <c r="C458" t="s">
        <v>67</v>
      </c>
      <c r="D458" t="s">
        <v>21</v>
      </c>
      <c r="E458" t="s">
        <v>15</v>
      </c>
      <c r="F458" t="s">
        <v>16</v>
      </c>
      <c r="G458" s="6" t="s">
        <v>81</v>
      </c>
      <c r="H458" s="2">
        <v>15485</v>
      </c>
      <c r="I458" s="2">
        <f>1982000*70%</f>
        <v>1387400</v>
      </c>
      <c r="J458" s="3">
        <f>IFERROR(I458/H458,"")</f>
        <v>89.596383597029387</v>
      </c>
      <c r="K458" s="4">
        <f>IFERROR(H458/I458,"")</f>
        <v>1.1161164768631974E-2</v>
      </c>
    </row>
    <row r="459" spans="1:11">
      <c r="A459" t="s">
        <v>13</v>
      </c>
      <c r="B459" t="s">
        <v>46</v>
      </c>
      <c r="C459" t="s">
        <v>38</v>
      </c>
      <c r="D459" t="s">
        <v>21</v>
      </c>
      <c r="E459" t="s">
        <v>15</v>
      </c>
      <c r="F459" t="s">
        <v>16</v>
      </c>
      <c r="G459" s="6">
        <v>2025</v>
      </c>
      <c r="H459" s="2">
        <v>44029</v>
      </c>
      <c r="I459" s="2">
        <v>3940977.0306948852</v>
      </c>
      <c r="J459" s="3">
        <f>IFERROR(I459/H459,"")</f>
        <v>89.508665440843203</v>
      </c>
      <c r="K459" s="4">
        <f>IFERROR(H459/I459,"")</f>
        <v>1.117210266821491E-2</v>
      </c>
    </row>
    <row r="460" spans="1:11">
      <c r="A460" t="s">
        <v>18</v>
      </c>
      <c r="B460" t="s">
        <v>55</v>
      </c>
      <c r="C460" t="s">
        <v>43</v>
      </c>
      <c r="D460" t="s">
        <v>21</v>
      </c>
      <c r="E460" t="s">
        <v>15</v>
      </c>
      <c r="F460" t="s">
        <v>16</v>
      </c>
      <c r="G460" s="6">
        <v>2025</v>
      </c>
      <c r="H460" s="2">
        <v>9343</v>
      </c>
      <c r="I460" s="2">
        <v>833895.82904546324</v>
      </c>
      <c r="J460" s="3">
        <f>IFERROR(I460/H460,"")</f>
        <v>89.253540516478992</v>
      </c>
      <c r="K460" s="4">
        <f>IFERROR(H460/I460,"")</f>
        <v>1.1204037332450343E-2</v>
      </c>
    </row>
    <row r="461" spans="1:11">
      <c r="A461" t="s">
        <v>13</v>
      </c>
      <c r="B461" t="s">
        <v>35</v>
      </c>
      <c r="C461" t="s">
        <v>36</v>
      </c>
      <c r="D461" t="s">
        <v>21</v>
      </c>
      <c r="E461" t="s">
        <v>15</v>
      </c>
      <c r="F461" t="s">
        <v>16</v>
      </c>
      <c r="G461" s="6" t="s">
        <v>82</v>
      </c>
      <c r="H461" s="2">
        <v>20661</v>
      </c>
      <c r="I461" s="2">
        <v>1842845.227917813</v>
      </c>
      <c r="J461" s="3">
        <f>IFERROR(I461/H461,"")</f>
        <v>89.194386908562649</v>
      </c>
      <c r="K461" s="4">
        <f>IFERROR(H461/I461,"")</f>
        <v>1.1211467836256858E-2</v>
      </c>
    </row>
    <row r="462" spans="1:11">
      <c r="A462" t="s">
        <v>18</v>
      </c>
      <c r="B462" t="s">
        <v>23</v>
      </c>
      <c r="C462" t="s">
        <v>17</v>
      </c>
      <c r="D462" t="s">
        <v>14</v>
      </c>
      <c r="E462" t="s">
        <v>15</v>
      </c>
      <c r="F462" t="s">
        <v>16</v>
      </c>
      <c r="G462" s="6">
        <v>2024</v>
      </c>
      <c r="H462" s="2">
        <v>45249</v>
      </c>
      <c r="I462" s="2">
        <v>4020007.3232848002</v>
      </c>
      <c r="J462" s="3">
        <f>IFERROR(I462/H462,"")</f>
        <v>88.841904203071891</v>
      </c>
      <c r="K462" s="4">
        <f>IFERROR(H462/I462,"")</f>
        <v>1.1255949644148024E-2</v>
      </c>
    </row>
    <row r="463" spans="1:11">
      <c r="A463" t="s">
        <v>17</v>
      </c>
      <c r="B463" t="s">
        <v>64</v>
      </c>
      <c r="C463" t="s">
        <v>11</v>
      </c>
      <c r="D463" t="s">
        <v>21</v>
      </c>
      <c r="E463" t="s">
        <v>15</v>
      </c>
      <c r="F463" t="s">
        <v>16</v>
      </c>
      <c r="G463" s="6">
        <v>2024</v>
      </c>
      <c r="H463" s="2">
        <v>54349</v>
      </c>
      <c r="I463" s="2">
        <v>4821868.0052292552</v>
      </c>
      <c r="J463" s="3">
        <f>IFERROR(I463/H463,"")</f>
        <v>88.720454934391711</v>
      </c>
      <c r="K463" s="4">
        <f>IFERROR(H463/I463,"")</f>
        <v>1.1271357893052898E-2</v>
      </c>
    </row>
    <row r="464" spans="1:11">
      <c r="A464" t="s">
        <v>17</v>
      </c>
      <c r="B464" t="s">
        <v>46</v>
      </c>
      <c r="C464" t="s">
        <v>38</v>
      </c>
      <c r="D464" t="s">
        <v>21</v>
      </c>
      <c r="E464" t="s">
        <v>15</v>
      </c>
      <c r="F464" t="s">
        <v>16</v>
      </c>
      <c r="G464" s="6" t="s">
        <v>81</v>
      </c>
      <c r="H464" s="2">
        <v>19902</v>
      </c>
      <c r="I464" s="2">
        <v>1764744.130584389</v>
      </c>
      <c r="J464" s="3">
        <f>IFERROR(I464/H464,"")</f>
        <v>88.671697848677965</v>
      </c>
      <c r="K464" s="4">
        <f>IFERROR(H464/I464,"")</f>
        <v>1.1277555570285151E-2</v>
      </c>
    </row>
    <row r="465" spans="1:11">
      <c r="A465" t="s">
        <v>18</v>
      </c>
      <c r="B465" t="s">
        <v>27</v>
      </c>
      <c r="C465" t="s">
        <v>11</v>
      </c>
      <c r="D465" t="s">
        <v>21</v>
      </c>
      <c r="E465" t="s">
        <v>15</v>
      </c>
      <c r="F465" t="s">
        <v>16</v>
      </c>
      <c r="G465" s="6">
        <v>2024</v>
      </c>
      <c r="H465" s="2">
        <v>38475</v>
      </c>
      <c r="I465" s="2">
        <v>3409660.924026879</v>
      </c>
      <c r="J465" s="3">
        <f>IFERROR(I465/H465,"")</f>
        <v>88.620166966260669</v>
      </c>
      <c r="K465" s="4">
        <f>IFERROR(H465/I465,"")</f>
        <v>1.1284113246826972E-2</v>
      </c>
    </row>
    <row r="466" spans="1:11">
      <c r="A466" t="s">
        <v>11</v>
      </c>
      <c r="B466" t="s">
        <v>71</v>
      </c>
      <c r="C466" t="s">
        <v>36</v>
      </c>
      <c r="D466" t="s">
        <v>14</v>
      </c>
      <c r="E466" t="s">
        <v>62</v>
      </c>
      <c r="F466" t="s">
        <v>26</v>
      </c>
      <c r="G466" s="6">
        <v>2024</v>
      </c>
      <c r="H466" s="2">
        <v>40709</v>
      </c>
      <c r="I466" s="2">
        <v>3598248.8026939668</v>
      </c>
      <c r="J466" s="3">
        <f>IFERROR(I466/H466,"")</f>
        <v>88.389515898056118</v>
      </c>
      <c r="K466" s="4">
        <f>IFERROR(H466/I466,"")</f>
        <v>1.1313558964994763E-2</v>
      </c>
    </row>
    <row r="467" spans="1:11">
      <c r="A467" t="s">
        <v>18</v>
      </c>
      <c r="B467" t="s">
        <v>23</v>
      </c>
      <c r="C467" t="s">
        <v>17</v>
      </c>
      <c r="D467" t="s">
        <v>14</v>
      </c>
      <c r="E467" t="s">
        <v>15</v>
      </c>
      <c r="F467" t="s">
        <v>16</v>
      </c>
      <c r="G467" s="6">
        <v>2025</v>
      </c>
      <c r="H467" s="2">
        <v>45867</v>
      </c>
      <c r="I467" s="2">
        <v>4052057.6330403332</v>
      </c>
      <c r="J467" s="3">
        <f>IFERROR(I467/H467,"")</f>
        <v>88.343637757872401</v>
      </c>
      <c r="K467" s="4">
        <f>IFERROR(H467/I467,"")</f>
        <v>1.1319434261250906E-2</v>
      </c>
    </row>
    <row r="468" spans="1:11">
      <c r="A468" t="s">
        <v>13</v>
      </c>
      <c r="B468" t="s">
        <v>65</v>
      </c>
      <c r="C468" t="s">
        <v>18</v>
      </c>
      <c r="D468" t="s">
        <v>21</v>
      </c>
      <c r="E468" t="s">
        <v>15</v>
      </c>
      <c r="F468" t="s">
        <v>16</v>
      </c>
      <c r="G468" s="6" t="s">
        <v>82</v>
      </c>
      <c r="H468" s="2">
        <v>3254</v>
      </c>
      <c r="I468" s="2">
        <v>287023.38964979339</v>
      </c>
      <c r="J468" s="3">
        <f>IFERROR(I468/H468,"")</f>
        <v>88.206327489180509</v>
      </c>
      <c r="K468" s="4">
        <f>IFERROR(H468/I468,"")</f>
        <v>1.1337055157666111E-2</v>
      </c>
    </row>
    <row r="469" spans="1:11">
      <c r="A469" t="s">
        <v>13</v>
      </c>
      <c r="B469" t="s">
        <v>72</v>
      </c>
      <c r="C469" t="s">
        <v>40</v>
      </c>
      <c r="D469" t="s">
        <v>21</v>
      </c>
      <c r="E469" t="s">
        <v>15</v>
      </c>
      <c r="F469" t="s">
        <v>16</v>
      </c>
      <c r="G469" s="6">
        <v>2025</v>
      </c>
      <c r="H469" s="2">
        <v>120745</v>
      </c>
      <c r="I469" s="2">
        <v>10586960.044276308</v>
      </c>
      <c r="J469" s="3">
        <f>IFERROR(I469/H469,"")</f>
        <v>87.680318392283809</v>
      </c>
      <c r="K469" s="4">
        <f>IFERROR(H469/I469,"")</f>
        <v>1.1405068073840431E-2</v>
      </c>
    </row>
    <row r="470" spans="1:11">
      <c r="A470" t="s">
        <v>17</v>
      </c>
      <c r="B470" t="s">
        <v>64</v>
      </c>
      <c r="C470" t="s">
        <v>11</v>
      </c>
      <c r="D470" t="s">
        <v>21</v>
      </c>
      <c r="E470" t="s">
        <v>15</v>
      </c>
      <c r="F470" t="s">
        <v>16</v>
      </c>
      <c r="G470" s="6" t="s">
        <v>81</v>
      </c>
      <c r="H470" s="2">
        <v>18137</v>
      </c>
      <c r="I470" s="2">
        <v>1588894.925335665</v>
      </c>
      <c r="J470" s="3">
        <f>IFERROR(I470/H470,"")</f>
        <v>87.605167631673652</v>
      </c>
      <c r="K470" s="4">
        <f>IFERROR(H470/I470,"")</f>
        <v>1.1414851738020646E-2</v>
      </c>
    </row>
    <row r="471" spans="1:11">
      <c r="A471" t="s">
        <v>18</v>
      </c>
      <c r="B471" t="s">
        <v>27</v>
      </c>
      <c r="C471" t="s">
        <v>11</v>
      </c>
      <c r="D471" t="s">
        <v>21</v>
      </c>
      <c r="E471" t="s">
        <v>15</v>
      </c>
      <c r="F471" t="s">
        <v>16</v>
      </c>
      <c r="G471" s="6" t="s">
        <v>81</v>
      </c>
      <c r="H471" s="2">
        <v>11727</v>
      </c>
      <c r="I471" s="2">
        <v>1027251.4307136771</v>
      </c>
      <c r="J471" s="3">
        <f>IFERROR(I471/H471,"")</f>
        <v>87.597120381485212</v>
      </c>
      <c r="K471" s="4">
        <f>IFERROR(H471/I471,"")</f>
        <v>1.1415900381713496E-2</v>
      </c>
    </row>
    <row r="472" spans="1:11">
      <c r="A472" t="s">
        <v>19</v>
      </c>
      <c r="B472" t="s">
        <v>70</v>
      </c>
      <c r="C472" t="s">
        <v>40</v>
      </c>
      <c r="D472" t="s">
        <v>21</v>
      </c>
      <c r="E472" t="s">
        <v>15</v>
      </c>
      <c r="F472" t="s">
        <v>16</v>
      </c>
      <c r="G472" s="6">
        <v>2024</v>
      </c>
      <c r="H472" s="2">
        <v>23059</v>
      </c>
      <c r="I472" s="2">
        <v>2013657.382283329</v>
      </c>
      <c r="J472" s="3">
        <f>IFERROR(I472/H472,"")</f>
        <v>87.326309999710702</v>
      </c>
      <c r="K472" s="4">
        <f>IFERROR(H472/I472,"")</f>
        <v>1.1451302591433359E-2</v>
      </c>
    </row>
    <row r="473" spans="1:11">
      <c r="A473" t="s">
        <v>18</v>
      </c>
      <c r="B473" t="s">
        <v>58</v>
      </c>
      <c r="C473" t="s">
        <v>43</v>
      </c>
      <c r="D473" t="s">
        <v>21</v>
      </c>
      <c r="E473" t="s">
        <v>15</v>
      </c>
      <c r="F473" t="s">
        <v>16</v>
      </c>
      <c r="G473" s="6">
        <v>2024</v>
      </c>
      <c r="H473" s="2">
        <v>25719</v>
      </c>
      <c r="I473" s="2">
        <v>2236465.8195770811</v>
      </c>
      <c r="J473" s="3">
        <f>IFERROR(I473/H473,"")</f>
        <v>86.957728511103895</v>
      </c>
      <c r="K473" s="4">
        <f>IFERROR(H473/I473,"")</f>
        <v>1.1499840406621328E-2</v>
      </c>
    </row>
    <row r="474" spans="1:11">
      <c r="A474" t="s">
        <v>19</v>
      </c>
      <c r="B474" t="s">
        <v>72</v>
      </c>
      <c r="C474" t="s">
        <v>40</v>
      </c>
      <c r="D474" t="s">
        <v>21</v>
      </c>
      <c r="E474" t="s">
        <v>15</v>
      </c>
      <c r="F474" t="s">
        <v>16</v>
      </c>
      <c r="G474" s="6">
        <v>2024</v>
      </c>
      <c r="H474" s="2">
        <v>101444</v>
      </c>
      <c r="I474" s="2">
        <v>8805011.373663865</v>
      </c>
      <c r="J474" s="3">
        <f>IFERROR(I474/H474,"")</f>
        <v>86.796768400929238</v>
      </c>
      <c r="K474" s="4">
        <f>IFERROR(H474/I474,"")</f>
        <v>1.1521166264864005E-2</v>
      </c>
    </row>
    <row r="475" spans="1:11">
      <c r="A475" t="s">
        <v>17</v>
      </c>
      <c r="B475" t="s">
        <v>59</v>
      </c>
      <c r="C475" t="s">
        <v>11</v>
      </c>
      <c r="D475" t="s">
        <v>21</v>
      </c>
      <c r="E475" t="s">
        <v>15</v>
      </c>
      <c r="F475" t="s">
        <v>16</v>
      </c>
      <c r="G475" s="6" t="s">
        <v>82</v>
      </c>
      <c r="H475" s="2">
        <v>20786</v>
      </c>
      <c r="I475" s="2">
        <v>1793049.305757737</v>
      </c>
      <c r="J475" s="3">
        <f>IFERROR(I475/H475,"")</f>
        <v>86.262354746355101</v>
      </c>
      <c r="K475" s="4">
        <f>IFERROR(H475/I475,"")</f>
        <v>1.1592542342953531E-2</v>
      </c>
    </row>
    <row r="476" spans="1:11">
      <c r="A476" t="s">
        <v>13</v>
      </c>
      <c r="B476" t="s">
        <v>24</v>
      </c>
      <c r="C476" t="s">
        <v>25</v>
      </c>
      <c r="D476" t="s">
        <v>14</v>
      </c>
      <c r="E476" t="s">
        <v>15</v>
      </c>
      <c r="F476" t="s">
        <v>26</v>
      </c>
      <c r="G476" s="6" t="s">
        <v>82</v>
      </c>
      <c r="H476" s="2">
        <v>17427</v>
      </c>
      <c r="I476" s="2">
        <v>1502691.72116518</v>
      </c>
      <c r="J476" s="3">
        <f>IFERROR(I476/H476,"")</f>
        <v>86.227791425097834</v>
      </c>
      <c r="K476" s="4">
        <f>IFERROR(H476/I476,"")</f>
        <v>1.1597189067154231E-2</v>
      </c>
    </row>
    <row r="477" spans="1:11">
      <c r="A477" t="s">
        <v>11</v>
      </c>
      <c r="B477" t="s">
        <v>71</v>
      </c>
      <c r="C477" t="s">
        <v>36</v>
      </c>
      <c r="D477" t="s">
        <v>14</v>
      </c>
      <c r="E477" t="s">
        <v>62</v>
      </c>
      <c r="F477" t="s">
        <v>26</v>
      </c>
      <c r="G477" s="6" t="s">
        <v>82</v>
      </c>
      <c r="H477" s="2">
        <v>15774</v>
      </c>
      <c r="I477" s="2">
        <v>1351937.0479190371</v>
      </c>
      <c r="J477" s="3">
        <f>IFERROR(I477/H477,"")</f>
        <v>85.706672240334541</v>
      </c>
      <c r="K477" s="4">
        <f>IFERROR(H477/I477,"")</f>
        <v>1.1667703037120003E-2</v>
      </c>
    </row>
    <row r="478" spans="1:11">
      <c r="A478" t="s">
        <v>11</v>
      </c>
      <c r="B478" t="s">
        <v>41</v>
      </c>
      <c r="C478" t="s">
        <v>38</v>
      </c>
      <c r="D478" t="s">
        <v>21</v>
      </c>
      <c r="E478" t="s">
        <v>15</v>
      </c>
      <c r="F478" t="s">
        <v>16</v>
      </c>
      <c r="G478" s="6">
        <v>2025</v>
      </c>
      <c r="H478" s="2">
        <v>45621</v>
      </c>
      <c r="I478" s="2">
        <v>3886612.7935038181</v>
      </c>
      <c r="J478" s="3">
        <f>IFERROR(I478/H478,"")</f>
        <v>85.193502849648581</v>
      </c>
      <c r="K478" s="4">
        <f>IFERROR(H478/I478,"")</f>
        <v>1.1737984312780548E-2</v>
      </c>
    </row>
    <row r="479" spans="1:11">
      <c r="A479" t="s">
        <v>13</v>
      </c>
      <c r="B479" t="s">
        <v>64</v>
      </c>
      <c r="C479" t="s">
        <v>11</v>
      </c>
      <c r="D479" t="s">
        <v>21</v>
      </c>
      <c r="E479" t="s">
        <v>15</v>
      </c>
      <c r="F479" t="s">
        <v>16</v>
      </c>
      <c r="G479" s="6" t="s">
        <v>82</v>
      </c>
      <c r="H479" s="2">
        <v>30382</v>
      </c>
      <c r="I479" s="2">
        <v>2581980.6386754336</v>
      </c>
      <c r="J479" s="3">
        <f>IFERROR(I479/H479,"")</f>
        <v>84.983893050998404</v>
      </c>
      <c r="K479" s="4">
        <f>IFERROR(H479/I479,"")</f>
        <v>1.1766935640379584E-2</v>
      </c>
    </row>
    <row r="480" spans="1:11">
      <c r="A480" t="s">
        <v>18</v>
      </c>
      <c r="B480" t="s">
        <v>27</v>
      </c>
      <c r="C480" t="s">
        <v>11</v>
      </c>
      <c r="D480" t="s">
        <v>21</v>
      </c>
      <c r="E480" t="s">
        <v>15</v>
      </c>
      <c r="F480" t="s">
        <v>16</v>
      </c>
      <c r="G480" s="6" t="s">
        <v>82</v>
      </c>
      <c r="H480" s="2">
        <v>12355</v>
      </c>
      <c r="I480" s="2">
        <v>1047732.846449743</v>
      </c>
      <c r="J480" s="3">
        <f>IFERROR(I480/H480,"")</f>
        <v>84.802334799655441</v>
      </c>
      <c r="K480" s="4">
        <f>IFERROR(H480/I480,"")</f>
        <v>1.1792128157349544E-2</v>
      </c>
    </row>
    <row r="481" spans="1:11">
      <c r="A481" t="s">
        <v>11</v>
      </c>
      <c r="B481" t="s">
        <v>41</v>
      </c>
      <c r="C481" t="s">
        <v>38</v>
      </c>
      <c r="D481" t="s">
        <v>21</v>
      </c>
      <c r="E481" t="s">
        <v>15</v>
      </c>
      <c r="F481" t="s">
        <v>16</v>
      </c>
      <c r="G481" s="6" t="s">
        <v>81</v>
      </c>
      <c r="H481" s="2">
        <v>14382</v>
      </c>
      <c r="I481" s="2">
        <v>1218215.394053048</v>
      </c>
      <c r="J481" s="3">
        <f>IFERROR(I481/H481,"")</f>
        <v>84.704171468018913</v>
      </c>
      <c r="K481" s="4">
        <f>IFERROR(H481/I481,"")</f>
        <v>1.1805794008357217E-2</v>
      </c>
    </row>
    <row r="482" spans="1:11">
      <c r="A482" t="s">
        <v>18</v>
      </c>
      <c r="B482" t="s">
        <v>53</v>
      </c>
      <c r="C482" t="s">
        <v>17</v>
      </c>
      <c r="D482" t="s">
        <v>14</v>
      </c>
      <c r="E482" t="s">
        <v>15</v>
      </c>
      <c r="F482" t="s">
        <v>16</v>
      </c>
      <c r="G482" s="6">
        <v>2024</v>
      </c>
      <c r="H482" s="2">
        <v>47120</v>
      </c>
      <c r="I482" s="2">
        <v>3990015.794699498</v>
      </c>
      <c r="J482" s="3">
        <f>IFERROR(I482/H482,"")</f>
        <v>84.677754556440959</v>
      </c>
      <c r="K482" s="4">
        <f>IFERROR(H482/I482,"")</f>
        <v>1.1809477060866816E-2</v>
      </c>
    </row>
    <row r="483" spans="1:11">
      <c r="A483" t="s">
        <v>17</v>
      </c>
      <c r="B483" t="s">
        <v>41</v>
      </c>
      <c r="C483" t="s">
        <v>38</v>
      </c>
      <c r="D483" t="s">
        <v>21</v>
      </c>
      <c r="E483" t="s">
        <v>15</v>
      </c>
      <c r="F483" t="s">
        <v>16</v>
      </c>
      <c r="G483" s="6">
        <v>2024</v>
      </c>
      <c r="H483" s="2">
        <v>96365</v>
      </c>
      <c r="I483" s="2">
        <v>8154019.2295979606</v>
      </c>
      <c r="J483" s="3">
        <f>IFERROR(I483/H483,"")</f>
        <v>84.615983288517199</v>
      </c>
      <c r="K483" s="4">
        <f>IFERROR(H483/I483,"")</f>
        <v>1.1818098202443329E-2</v>
      </c>
    </row>
    <row r="484" spans="1:11">
      <c r="A484" t="s">
        <v>19</v>
      </c>
      <c r="B484" t="s">
        <v>44</v>
      </c>
      <c r="C484" t="s">
        <v>36</v>
      </c>
      <c r="D484" t="s">
        <v>21</v>
      </c>
      <c r="E484" t="s">
        <v>15</v>
      </c>
      <c r="F484" t="s">
        <v>16</v>
      </c>
      <c r="G484" s="6">
        <v>2024</v>
      </c>
      <c r="H484" s="2">
        <v>9041</v>
      </c>
      <c r="I484" s="2">
        <v>764990.76066186116</v>
      </c>
      <c r="J484" s="3">
        <f>IFERROR(I484/H484,"")</f>
        <v>84.613511852877025</v>
      </c>
      <c r="K484" s="4">
        <f>IFERROR(H484/I484,"")</f>
        <v>1.1818443391627151E-2</v>
      </c>
    </row>
    <row r="485" spans="1:11">
      <c r="A485" t="s">
        <v>18</v>
      </c>
      <c r="B485" t="s">
        <v>46</v>
      </c>
      <c r="C485" t="s">
        <v>38</v>
      </c>
      <c r="D485" t="s">
        <v>21</v>
      </c>
      <c r="E485" t="s">
        <v>15</v>
      </c>
      <c r="F485" t="s">
        <v>16</v>
      </c>
      <c r="G485" s="6">
        <v>2024</v>
      </c>
      <c r="H485" s="2">
        <v>59915</v>
      </c>
      <c r="I485" s="2">
        <v>5051917.5166935679</v>
      </c>
      <c r="J485" s="3">
        <f>IFERROR(I485/H485,"")</f>
        <v>84.31807588573092</v>
      </c>
      <c r="K485" s="4">
        <f>IFERROR(H485/I485,"")</f>
        <v>1.1859853174961138E-2</v>
      </c>
    </row>
    <row r="486" spans="1:11">
      <c r="A486" t="s">
        <v>18</v>
      </c>
      <c r="B486" t="s">
        <v>46</v>
      </c>
      <c r="C486" t="s">
        <v>38</v>
      </c>
      <c r="D486" t="s">
        <v>21</v>
      </c>
      <c r="E486" t="s">
        <v>15</v>
      </c>
      <c r="F486" t="s">
        <v>16</v>
      </c>
      <c r="G486" s="6" t="s">
        <v>81</v>
      </c>
      <c r="H486" s="2">
        <v>23124</v>
      </c>
      <c r="I486" s="2">
        <v>1949734.0696271129</v>
      </c>
      <c r="J486" s="3">
        <f>IFERROR(I486/H486,"")</f>
        <v>84.316470750177871</v>
      </c>
      <c r="K486" s="4">
        <f>IFERROR(H486/I486,"")</f>
        <v>1.1860078951393854E-2</v>
      </c>
    </row>
    <row r="487" spans="1:11">
      <c r="A487" t="s">
        <v>13</v>
      </c>
      <c r="B487" t="s">
        <v>53</v>
      </c>
      <c r="C487" t="s">
        <v>17</v>
      </c>
      <c r="D487" t="s">
        <v>14</v>
      </c>
      <c r="E487" t="s">
        <v>15</v>
      </c>
      <c r="F487" t="s">
        <v>16</v>
      </c>
      <c r="G487" s="6">
        <v>2024</v>
      </c>
      <c r="H487" s="2">
        <v>52483</v>
      </c>
      <c r="I487" s="2">
        <v>4417061.1415598486</v>
      </c>
      <c r="J487" s="3">
        <f>IFERROR(I487/H487,"")</f>
        <v>84.161750310764404</v>
      </c>
      <c r="K487" s="4">
        <f>IFERROR(H487/I487,"")</f>
        <v>1.1881882165087274E-2</v>
      </c>
    </row>
    <row r="488" spans="1:11">
      <c r="A488" t="s">
        <v>18</v>
      </c>
      <c r="B488" t="s">
        <v>34</v>
      </c>
      <c r="C488" t="s">
        <v>13</v>
      </c>
      <c r="D488" t="s">
        <v>21</v>
      </c>
      <c r="E488" t="s">
        <v>15</v>
      </c>
      <c r="F488" t="s">
        <v>16</v>
      </c>
      <c r="G488" s="6">
        <v>2024</v>
      </c>
      <c r="H488" s="2">
        <v>14082</v>
      </c>
      <c r="I488" s="2">
        <v>1185127.8837212953</v>
      </c>
      <c r="J488" s="3">
        <f>IFERROR(I488/H488,"")</f>
        <v>84.159060056902092</v>
      </c>
      <c r="K488" s="4">
        <f>IFERROR(H488/I488,"")</f>
        <v>1.1882261984911362E-2</v>
      </c>
    </row>
    <row r="489" spans="1:11">
      <c r="A489" t="s">
        <v>19</v>
      </c>
      <c r="B489" t="s">
        <v>68</v>
      </c>
      <c r="C489" t="s">
        <v>17</v>
      </c>
      <c r="D489" t="s">
        <v>21</v>
      </c>
      <c r="E489" t="s">
        <v>15</v>
      </c>
      <c r="F489" t="s">
        <v>16</v>
      </c>
      <c r="G489" s="6">
        <v>2024</v>
      </c>
      <c r="H489" s="2">
        <v>1981</v>
      </c>
      <c r="I489" s="2">
        <v>166431.32712754374</v>
      </c>
      <c r="J489" s="3">
        <f>IFERROR(I489/H489,"")</f>
        <v>84.013794612591497</v>
      </c>
      <c r="K489" s="4">
        <f>IFERROR(H489/I489,"")</f>
        <v>1.1902807206974149E-2</v>
      </c>
    </row>
    <row r="490" spans="1:11">
      <c r="A490" t="s">
        <v>13</v>
      </c>
      <c r="B490" t="s">
        <v>22</v>
      </c>
      <c r="C490" t="s">
        <v>17</v>
      </c>
      <c r="D490" t="s">
        <v>14</v>
      </c>
      <c r="E490" t="s">
        <v>15</v>
      </c>
      <c r="F490" t="s">
        <v>16</v>
      </c>
      <c r="G490" s="6">
        <v>2024</v>
      </c>
      <c r="H490" s="2">
        <v>67811</v>
      </c>
      <c r="I490" s="2">
        <v>5682467.2402015682</v>
      </c>
      <c r="J490" s="3">
        <f>IFERROR(I490/H490,"")</f>
        <v>83.798605538947484</v>
      </c>
      <c r="K490" s="4">
        <f>IFERROR(H490/I490,"")</f>
        <v>1.1933372799804229E-2</v>
      </c>
    </row>
    <row r="491" spans="1:11">
      <c r="A491" t="s">
        <v>11</v>
      </c>
      <c r="B491" t="s">
        <v>72</v>
      </c>
      <c r="C491" t="s">
        <v>40</v>
      </c>
      <c r="D491" t="s">
        <v>21</v>
      </c>
      <c r="E491" t="s">
        <v>15</v>
      </c>
      <c r="F491" t="s">
        <v>16</v>
      </c>
      <c r="G491" s="6">
        <v>2025</v>
      </c>
      <c r="H491" s="2">
        <v>110071</v>
      </c>
      <c r="I491" s="2">
        <v>9221402.2183958255</v>
      </c>
      <c r="J491" s="3">
        <f>IFERROR(I491/H491,"")</f>
        <v>83.77685510621167</v>
      </c>
      <c r="K491" s="4">
        <f>IFERROR(H491/I491,"")</f>
        <v>1.1936470982733923E-2</v>
      </c>
    </row>
    <row r="492" spans="1:11">
      <c r="A492" t="s">
        <v>11</v>
      </c>
      <c r="B492" t="s">
        <v>72</v>
      </c>
      <c r="C492" t="s">
        <v>40</v>
      </c>
      <c r="D492" t="s">
        <v>21</v>
      </c>
      <c r="E492" t="s">
        <v>15</v>
      </c>
      <c r="F492" t="s">
        <v>16</v>
      </c>
      <c r="G492" s="6" t="s">
        <v>81</v>
      </c>
      <c r="H492" s="2">
        <v>40790</v>
      </c>
      <c r="I492" s="2">
        <v>3407388.9211514639</v>
      </c>
      <c r="J492" s="3">
        <f>IFERROR(I492/H492,"")</f>
        <v>83.534908584247702</v>
      </c>
      <c r="K492" s="4">
        <f>IFERROR(H492/I492,"")</f>
        <v>1.1971043207540798E-2</v>
      </c>
    </row>
    <row r="493" spans="1:11">
      <c r="A493" t="s">
        <v>11</v>
      </c>
      <c r="B493" t="s">
        <v>53</v>
      </c>
      <c r="C493" t="s">
        <v>17</v>
      </c>
      <c r="D493" t="s">
        <v>14</v>
      </c>
      <c r="E493" t="s">
        <v>15</v>
      </c>
      <c r="F493" t="s">
        <v>16</v>
      </c>
      <c r="G493" s="6">
        <v>2024</v>
      </c>
      <c r="H493" s="2">
        <v>51267</v>
      </c>
      <c r="I493" s="2">
        <v>4278275.845003156</v>
      </c>
      <c r="J493" s="3">
        <f>IFERROR(I493/H493,"")</f>
        <v>83.450871808437313</v>
      </c>
      <c r="K493" s="4">
        <f>IFERROR(H493/I493,"")</f>
        <v>1.1983098298787272E-2</v>
      </c>
    </row>
    <row r="494" spans="1:11">
      <c r="A494" t="s">
        <v>18</v>
      </c>
      <c r="B494" t="s">
        <v>64</v>
      </c>
      <c r="C494" t="s">
        <v>11</v>
      </c>
      <c r="D494" t="s">
        <v>21</v>
      </c>
      <c r="E494" t="s">
        <v>15</v>
      </c>
      <c r="F494" t="s">
        <v>16</v>
      </c>
      <c r="G494" s="6" t="s">
        <v>82</v>
      </c>
      <c r="H494" s="2">
        <v>24956</v>
      </c>
      <c r="I494" s="2">
        <v>2080183.8653800748</v>
      </c>
      <c r="J494" s="3">
        <f>IFERROR(I494/H494,"")</f>
        <v>83.354057756855056</v>
      </c>
      <c r="K494" s="4">
        <f>IFERROR(H494/I494,"")</f>
        <v>1.1997016425007332E-2</v>
      </c>
    </row>
    <row r="495" spans="1:11">
      <c r="A495" t="s">
        <v>13</v>
      </c>
      <c r="B495" t="s">
        <v>56</v>
      </c>
      <c r="C495" t="s">
        <v>40</v>
      </c>
      <c r="D495" t="s">
        <v>21</v>
      </c>
      <c r="E495" t="s">
        <v>15</v>
      </c>
      <c r="F495" t="s">
        <v>16</v>
      </c>
      <c r="G495" s="6" t="s">
        <v>82</v>
      </c>
      <c r="H495" s="2">
        <v>15399</v>
      </c>
      <c r="I495" s="2">
        <v>1281763.639688323</v>
      </c>
      <c r="J495" s="3">
        <f>IFERROR(I495/H495,"")</f>
        <v>83.236810162239308</v>
      </c>
      <c r="K495" s="4">
        <f>IFERROR(H495/I495,"")</f>
        <v>1.2013915454603206E-2</v>
      </c>
    </row>
    <row r="496" spans="1:11">
      <c r="A496" t="s">
        <v>11</v>
      </c>
      <c r="B496" t="s">
        <v>34</v>
      </c>
      <c r="C496" t="s">
        <v>13</v>
      </c>
      <c r="D496" t="s">
        <v>21</v>
      </c>
      <c r="E496" t="s">
        <v>15</v>
      </c>
      <c r="F496" t="s">
        <v>16</v>
      </c>
      <c r="G496" s="6" t="s">
        <v>81</v>
      </c>
      <c r="H496" s="2">
        <v>6459</v>
      </c>
      <c r="I496" s="2">
        <v>537618.73969478195</v>
      </c>
      <c r="J496" s="3">
        <f>IFERROR(I496/H496,"")</f>
        <v>83.235599890816218</v>
      </c>
      <c r="K496" s="4">
        <f>IFERROR(H496/I496,"")</f>
        <v>1.201409014065789E-2</v>
      </c>
    </row>
    <row r="497" spans="1:11">
      <c r="A497" t="s">
        <v>18</v>
      </c>
      <c r="B497" t="s">
        <v>57</v>
      </c>
      <c r="C497" t="s">
        <v>25</v>
      </c>
      <c r="D497" t="s">
        <v>21</v>
      </c>
      <c r="E497" t="s">
        <v>15</v>
      </c>
      <c r="F497" t="s">
        <v>26</v>
      </c>
      <c r="G497" s="6">
        <v>2025</v>
      </c>
      <c r="H497" s="2">
        <v>13963</v>
      </c>
      <c r="I497" s="2">
        <v>1158673</v>
      </c>
      <c r="J497" s="3">
        <f>IFERROR(I497/H497,"")</f>
        <v>82.981665831125113</v>
      </c>
      <c r="K497" s="4">
        <f>IFERROR(H497/I497,"")</f>
        <v>1.2050854727779106E-2</v>
      </c>
    </row>
    <row r="498" spans="1:11">
      <c r="A498" t="s">
        <v>17</v>
      </c>
      <c r="B498" t="s">
        <v>52</v>
      </c>
      <c r="C498" t="s">
        <v>40</v>
      </c>
      <c r="D498" t="s">
        <v>21</v>
      </c>
      <c r="E498" t="s">
        <v>15</v>
      </c>
      <c r="F498" t="s">
        <v>16</v>
      </c>
      <c r="G498" s="6" t="s">
        <v>82</v>
      </c>
      <c r="H498" s="2">
        <v>16368</v>
      </c>
      <c r="I498" s="2">
        <v>1357314.6860175058</v>
      </c>
      <c r="J498" s="3">
        <f>IFERROR(I498/H498,"")</f>
        <v>82.924895284549478</v>
      </c>
      <c r="K498" s="4">
        <f>IFERROR(H498/I498,"")</f>
        <v>1.2059104766651656E-2</v>
      </c>
    </row>
    <row r="499" spans="1:11">
      <c r="A499" t="s">
        <v>17</v>
      </c>
      <c r="B499" t="s">
        <v>46</v>
      </c>
      <c r="C499" t="s">
        <v>38</v>
      </c>
      <c r="D499" t="s">
        <v>21</v>
      </c>
      <c r="E499" t="s">
        <v>15</v>
      </c>
      <c r="F499" t="s">
        <v>16</v>
      </c>
      <c r="G499" s="6">
        <v>2025</v>
      </c>
      <c r="H499" s="2">
        <v>60391</v>
      </c>
      <c r="I499" s="2">
        <v>4977773.2388085835</v>
      </c>
      <c r="J499" s="3">
        <f>IFERROR(I499/H499,"")</f>
        <v>82.425746200734935</v>
      </c>
      <c r="K499" s="4">
        <f>IFERROR(H499/I499,"")</f>
        <v>1.2132131598355899E-2</v>
      </c>
    </row>
    <row r="500" spans="1:11">
      <c r="A500" t="s">
        <v>13</v>
      </c>
      <c r="B500" t="s">
        <v>64</v>
      </c>
      <c r="C500" t="s">
        <v>11</v>
      </c>
      <c r="D500" t="s">
        <v>21</v>
      </c>
      <c r="E500" t="s">
        <v>15</v>
      </c>
      <c r="F500" t="s">
        <v>16</v>
      </c>
      <c r="G500" s="6" t="s">
        <v>81</v>
      </c>
      <c r="H500" s="2">
        <v>27757</v>
      </c>
      <c r="I500" s="2">
        <v>2287581.0371364038</v>
      </c>
      <c r="J500" s="3">
        <f>IFERROR(I500/H500,"")</f>
        <v>82.414563430356452</v>
      </c>
      <c r="K500" s="4">
        <f>IFERROR(H500/I500,"")</f>
        <v>1.2133777798204798E-2</v>
      </c>
    </row>
    <row r="501" spans="1:11">
      <c r="A501" t="s">
        <v>13</v>
      </c>
      <c r="B501" t="s">
        <v>22</v>
      </c>
      <c r="C501" t="s">
        <v>17</v>
      </c>
      <c r="D501" t="s">
        <v>14</v>
      </c>
      <c r="E501" t="s">
        <v>15</v>
      </c>
      <c r="F501" t="s">
        <v>16</v>
      </c>
      <c r="G501" s="6">
        <v>2025</v>
      </c>
      <c r="H501" s="2">
        <v>68845</v>
      </c>
      <c r="I501" s="2">
        <v>5664356.5951624094</v>
      </c>
      <c r="J501" s="3">
        <f>IFERROR(I501/H501,"")</f>
        <v>82.276949599279675</v>
      </c>
      <c r="K501" s="4">
        <f>IFERROR(H501/I501,"")</f>
        <v>1.2154072372279038E-2</v>
      </c>
    </row>
    <row r="502" spans="1:11">
      <c r="A502" t="s">
        <v>11</v>
      </c>
      <c r="B502" t="s">
        <v>70</v>
      </c>
      <c r="C502" t="s">
        <v>40</v>
      </c>
      <c r="D502" t="s">
        <v>21</v>
      </c>
      <c r="E502" t="s">
        <v>15</v>
      </c>
      <c r="F502" t="s">
        <v>16</v>
      </c>
      <c r="G502" s="6" t="s">
        <v>82</v>
      </c>
      <c r="H502" s="2">
        <v>6625</v>
      </c>
      <c r="I502" s="2">
        <v>544967.40013114107</v>
      </c>
      <c r="J502" s="3">
        <f>IFERROR(I502/H502,"")</f>
        <v>82.259230208474122</v>
      </c>
      <c r="K502" s="4">
        <f>IFERROR(H502/I502,"")</f>
        <v>1.2156690470669912E-2</v>
      </c>
    </row>
    <row r="503" spans="1:11">
      <c r="A503" t="s">
        <v>11</v>
      </c>
      <c r="B503" t="s">
        <v>22</v>
      </c>
      <c r="C503" t="s">
        <v>17</v>
      </c>
      <c r="D503" t="s">
        <v>14</v>
      </c>
      <c r="E503" t="s">
        <v>15</v>
      </c>
      <c r="F503" t="s">
        <v>16</v>
      </c>
      <c r="G503" s="6">
        <v>2024</v>
      </c>
      <c r="H503" s="2">
        <v>47917</v>
      </c>
      <c r="I503" s="2">
        <v>3938855.2045846209</v>
      </c>
      <c r="J503" s="3">
        <f>IFERROR(I503/H503,"")</f>
        <v>82.201623736557394</v>
      </c>
      <c r="K503" s="4">
        <f>IFERROR(H503/I503,"")</f>
        <v>1.2165209816351493E-2</v>
      </c>
    </row>
    <row r="504" spans="1:11">
      <c r="A504" t="s">
        <v>17</v>
      </c>
      <c r="B504" t="s">
        <v>64</v>
      </c>
      <c r="C504" t="s">
        <v>11</v>
      </c>
      <c r="D504" t="s">
        <v>21</v>
      </c>
      <c r="E504" t="s">
        <v>15</v>
      </c>
      <c r="F504" t="s">
        <v>16</v>
      </c>
      <c r="G504" s="6">
        <v>2025</v>
      </c>
      <c r="H504" s="2">
        <v>59446</v>
      </c>
      <c r="I504" s="2">
        <v>4866577.0660825418</v>
      </c>
      <c r="J504" s="3">
        <f>IFERROR(I504/H504,"")</f>
        <v>81.865509303948826</v>
      </c>
      <c r="K504" s="4">
        <f>IFERROR(H504/I504,"")</f>
        <v>1.2215156401057954E-2</v>
      </c>
    </row>
    <row r="505" spans="1:11">
      <c r="A505" t="s">
        <v>19</v>
      </c>
      <c r="B505" t="s">
        <v>71</v>
      </c>
      <c r="C505" t="s">
        <v>36</v>
      </c>
      <c r="D505" t="s">
        <v>14</v>
      </c>
      <c r="E505" t="s">
        <v>62</v>
      </c>
      <c r="F505" t="s">
        <v>26</v>
      </c>
      <c r="G505" s="6">
        <v>2024</v>
      </c>
      <c r="H505" s="2">
        <v>50334</v>
      </c>
      <c r="I505" s="2">
        <v>4098324.0738526261</v>
      </c>
      <c r="J505" s="3">
        <f>IFERROR(I505/H505,"")</f>
        <v>81.422578651659435</v>
      </c>
      <c r="K505" s="4">
        <f>IFERROR(H505/I505,"")</f>
        <v>1.2281605625365679E-2</v>
      </c>
    </row>
    <row r="506" spans="1:11">
      <c r="A506" t="s">
        <v>11</v>
      </c>
      <c r="B506" t="s">
        <v>72</v>
      </c>
      <c r="C506" t="s">
        <v>40</v>
      </c>
      <c r="D506" t="s">
        <v>21</v>
      </c>
      <c r="E506" t="s">
        <v>15</v>
      </c>
      <c r="F506" t="s">
        <v>16</v>
      </c>
      <c r="G506" s="6" t="s">
        <v>82</v>
      </c>
      <c r="H506" s="2">
        <v>35705</v>
      </c>
      <c r="I506" s="2">
        <v>2903607.7223580908</v>
      </c>
      <c r="J506" s="3">
        <f>IFERROR(I506/H506,"")</f>
        <v>81.322159987623323</v>
      </c>
      <c r="K506" s="4">
        <f>IFERROR(H506/I506,"")</f>
        <v>1.229677126323493E-2</v>
      </c>
    </row>
    <row r="507" spans="1:11">
      <c r="A507" t="s">
        <v>19</v>
      </c>
      <c r="B507" t="s">
        <v>29</v>
      </c>
      <c r="C507" t="s">
        <v>30</v>
      </c>
      <c r="D507" t="s">
        <v>21</v>
      </c>
      <c r="E507" t="s">
        <v>15</v>
      </c>
      <c r="F507" t="s">
        <v>16</v>
      </c>
      <c r="G507" s="6">
        <v>2025</v>
      </c>
      <c r="H507" s="2">
        <v>28397</v>
      </c>
      <c r="I507" s="2">
        <v>2302001.7932978841</v>
      </c>
      <c r="J507" s="3">
        <f>IFERROR(I507/H507,"")</f>
        <v>81.064964372922631</v>
      </c>
      <c r="K507" s="4">
        <f>IFERROR(H507/I507,"")</f>
        <v>1.2335785351113047E-2</v>
      </c>
    </row>
    <row r="508" spans="1:11">
      <c r="A508" t="s">
        <v>11</v>
      </c>
      <c r="B508" t="s">
        <v>70</v>
      </c>
      <c r="C508" t="s">
        <v>40</v>
      </c>
      <c r="D508" t="s">
        <v>21</v>
      </c>
      <c r="E508" t="s">
        <v>15</v>
      </c>
      <c r="F508" t="s">
        <v>16</v>
      </c>
      <c r="G508" s="6">
        <v>2025</v>
      </c>
      <c r="H508" s="2">
        <v>20173</v>
      </c>
      <c r="I508" s="2">
        <v>1635004.1062119061</v>
      </c>
      <c r="J508" s="3">
        <f>IFERROR(I508/H508,"")</f>
        <v>81.049130333213014</v>
      </c>
      <c r="K508" s="4">
        <f>IFERROR(H508/I508,"")</f>
        <v>1.2338195313000309E-2</v>
      </c>
    </row>
    <row r="509" spans="1:11">
      <c r="A509" t="s">
        <v>18</v>
      </c>
      <c r="B509" t="s">
        <v>54</v>
      </c>
      <c r="C509" t="s">
        <v>25</v>
      </c>
      <c r="D509" t="s">
        <v>21</v>
      </c>
      <c r="E509" t="s">
        <v>15</v>
      </c>
      <c r="F509" t="s">
        <v>26</v>
      </c>
      <c r="G509" s="6" t="s">
        <v>81</v>
      </c>
      <c r="H509" s="2">
        <v>16555</v>
      </c>
      <c r="I509" s="2">
        <f>1914000*70%</f>
        <v>1339800</v>
      </c>
      <c r="J509" s="3">
        <f>IFERROR(I509/H509,"")</f>
        <v>80.930232558139537</v>
      </c>
      <c r="K509" s="4">
        <f>IFERROR(H509/I509,"")</f>
        <v>1.235632183908046E-2</v>
      </c>
    </row>
    <row r="510" spans="1:11">
      <c r="A510" t="s">
        <v>18</v>
      </c>
      <c r="B510" t="s">
        <v>23</v>
      </c>
      <c r="C510" t="s">
        <v>17</v>
      </c>
      <c r="D510" t="s">
        <v>14</v>
      </c>
      <c r="E510" t="s">
        <v>15</v>
      </c>
      <c r="F510" t="s">
        <v>16</v>
      </c>
      <c r="G510" s="6" t="s">
        <v>82</v>
      </c>
      <c r="H510" s="2">
        <v>15752</v>
      </c>
      <c r="I510" s="2">
        <v>1273869.04344386</v>
      </c>
      <c r="J510" s="3">
        <f>IFERROR(I510/H510,"")</f>
        <v>80.870304941839763</v>
      </c>
      <c r="K510" s="4">
        <f>IFERROR(H510/I510,"")</f>
        <v>1.2365478289208618E-2</v>
      </c>
    </row>
    <row r="511" spans="1:11">
      <c r="A511" t="s">
        <v>13</v>
      </c>
      <c r="B511" t="s">
        <v>64</v>
      </c>
      <c r="C511" t="s">
        <v>11</v>
      </c>
      <c r="D511" t="s">
        <v>21</v>
      </c>
      <c r="E511" t="s">
        <v>15</v>
      </c>
      <c r="F511" t="s">
        <v>16</v>
      </c>
      <c r="G511" s="6">
        <v>2024</v>
      </c>
      <c r="H511" s="2">
        <v>87149</v>
      </c>
      <c r="I511" s="2">
        <v>7007256.9067661315</v>
      </c>
      <c r="J511" s="3">
        <f>IFERROR(I511/H511,"")</f>
        <v>80.405476904682004</v>
      </c>
      <c r="K511" s="4">
        <f>IFERROR(H511/I511,"")</f>
        <v>1.2436963730536248E-2</v>
      </c>
    </row>
    <row r="512" spans="1:11">
      <c r="A512" t="s">
        <v>13</v>
      </c>
      <c r="B512" t="s">
        <v>72</v>
      </c>
      <c r="C512" t="s">
        <v>40</v>
      </c>
      <c r="D512" t="s">
        <v>21</v>
      </c>
      <c r="E512" t="s">
        <v>15</v>
      </c>
      <c r="F512" t="s">
        <v>16</v>
      </c>
      <c r="G512" s="6" t="s">
        <v>81</v>
      </c>
      <c r="H512" s="2">
        <v>44478</v>
      </c>
      <c r="I512" s="2">
        <v>3570501.3440288957</v>
      </c>
      <c r="J512" s="3">
        <f>IFERROR(I512/H512,"")</f>
        <v>80.275672108208454</v>
      </c>
      <c r="K512" s="4">
        <f>IFERROR(H512/I512,"")</f>
        <v>1.2457074151332414E-2</v>
      </c>
    </row>
    <row r="513" spans="1:11">
      <c r="A513" t="s">
        <v>19</v>
      </c>
      <c r="B513" t="s">
        <v>74</v>
      </c>
      <c r="C513" t="s">
        <v>61</v>
      </c>
      <c r="D513" t="s">
        <v>14</v>
      </c>
      <c r="E513" t="s">
        <v>15</v>
      </c>
      <c r="F513" t="s">
        <v>16</v>
      </c>
      <c r="G513" s="6">
        <v>2024</v>
      </c>
      <c r="H513" s="2">
        <v>66408</v>
      </c>
      <c r="I513" s="2">
        <v>5317040.0878232494</v>
      </c>
      <c r="J513" s="3">
        <f>IFERROR(I513/H513,"")</f>
        <v>80.066258399940509</v>
      </c>
      <c r="K513" s="4">
        <f>IFERROR(H513/I513,"")</f>
        <v>1.2489655692475109E-2</v>
      </c>
    </row>
    <row r="514" spans="1:11">
      <c r="A514" t="s">
        <v>11</v>
      </c>
      <c r="B514" t="s">
        <v>66</v>
      </c>
      <c r="C514" t="s">
        <v>67</v>
      </c>
      <c r="D514" t="s">
        <v>21</v>
      </c>
      <c r="E514" t="s">
        <v>15</v>
      </c>
      <c r="F514" t="s">
        <v>16</v>
      </c>
      <c r="G514" s="6" t="s">
        <v>82</v>
      </c>
      <c r="H514" s="2">
        <v>16297</v>
      </c>
      <c r="I514" s="2">
        <f>1853000*70%</f>
        <v>1297100</v>
      </c>
      <c r="J514" s="3">
        <f>IFERROR(I514/H514,"")</f>
        <v>79.59133582868013</v>
      </c>
      <c r="K514" s="4">
        <f>IFERROR(H514/I514,"")</f>
        <v>1.2564181635957135E-2</v>
      </c>
    </row>
    <row r="515" spans="1:11">
      <c r="A515" t="s">
        <v>13</v>
      </c>
      <c r="B515" t="s">
        <v>72</v>
      </c>
      <c r="C515" t="s">
        <v>40</v>
      </c>
      <c r="D515" t="s">
        <v>21</v>
      </c>
      <c r="E515" t="s">
        <v>15</v>
      </c>
      <c r="F515" t="s">
        <v>16</v>
      </c>
      <c r="G515" s="6" t="s">
        <v>82</v>
      </c>
      <c r="H515" s="2">
        <v>44660</v>
      </c>
      <c r="I515" s="2">
        <v>3549045.4269145932</v>
      </c>
      <c r="J515" s="3">
        <f>IFERROR(I515/H515,"")</f>
        <v>79.468101811791158</v>
      </c>
      <c r="K515" s="4">
        <f>IFERROR(H515/I515,"")</f>
        <v>1.2583665360075632E-2</v>
      </c>
    </row>
    <row r="516" spans="1:11">
      <c r="A516" t="s">
        <v>11</v>
      </c>
      <c r="B516" t="s">
        <v>31</v>
      </c>
      <c r="C516" t="s">
        <v>11</v>
      </c>
      <c r="D516" t="s">
        <v>21</v>
      </c>
      <c r="E516" t="s">
        <v>15</v>
      </c>
      <c r="F516" t="s">
        <v>16</v>
      </c>
      <c r="G516" s="6" t="s">
        <v>82</v>
      </c>
      <c r="H516" s="2">
        <v>4314</v>
      </c>
      <c r="I516" s="2">
        <v>342317.81900409493</v>
      </c>
      <c r="J516" s="3">
        <f>IFERROR(I516/H516,"")</f>
        <v>79.350444831732716</v>
      </c>
      <c r="K516" s="4">
        <f>IFERROR(H516/I516,"")</f>
        <v>1.2602323807012789E-2</v>
      </c>
    </row>
    <row r="517" spans="1:11">
      <c r="A517" t="s">
        <v>18</v>
      </c>
      <c r="B517" t="s">
        <v>68</v>
      </c>
      <c r="C517" t="s">
        <v>17</v>
      </c>
      <c r="D517" t="s">
        <v>21</v>
      </c>
      <c r="E517" t="s">
        <v>15</v>
      </c>
      <c r="F517" t="s">
        <v>16</v>
      </c>
      <c r="G517" s="6">
        <v>2024</v>
      </c>
      <c r="H517" s="2">
        <v>995</v>
      </c>
      <c r="I517" s="2">
        <v>78892.880887884035</v>
      </c>
      <c r="J517" s="3">
        <f>IFERROR(I517/H517,"")</f>
        <v>79.289327525511595</v>
      </c>
      <c r="K517" s="4">
        <f>IFERROR(H517/I517,"")</f>
        <v>1.2612037851856503E-2</v>
      </c>
    </row>
    <row r="518" spans="1:11">
      <c r="A518" t="s">
        <v>11</v>
      </c>
      <c r="B518" t="s">
        <v>34</v>
      </c>
      <c r="C518" t="s">
        <v>13</v>
      </c>
      <c r="D518" t="s">
        <v>21</v>
      </c>
      <c r="E518" t="s">
        <v>15</v>
      </c>
      <c r="F518" t="s">
        <v>16</v>
      </c>
      <c r="G518" s="6">
        <v>2025</v>
      </c>
      <c r="H518" s="2">
        <v>20255</v>
      </c>
      <c r="I518" s="2">
        <v>1594626.4607348926</v>
      </c>
      <c r="J518" s="3">
        <f>IFERROR(I518/H518,"")</f>
        <v>78.727546814855231</v>
      </c>
      <c r="K518" s="4">
        <f>IFERROR(H518/I518,"")</f>
        <v>1.2702034300036242E-2</v>
      </c>
    </row>
    <row r="519" spans="1:11">
      <c r="A519" t="s">
        <v>17</v>
      </c>
      <c r="B519" t="s">
        <v>29</v>
      </c>
      <c r="C519" t="s">
        <v>30</v>
      </c>
      <c r="D519" t="s">
        <v>21</v>
      </c>
      <c r="E519" t="s">
        <v>15</v>
      </c>
      <c r="F519" t="s">
        <v>16</v>
      </c>
      <c r="G519" s="6">
        <v>2025</v>
      </c>
      <c r="H519" s="2">
        <v>73644</v>
      </c>
      <c r="I519" s="2">
        <v>5794577.2253212417</v>
      </c>
      <c r="J519" s="3">
        <f>IFERROR(I519/H519,"")</f>
        <v>78.683629695850868</v>
      </c>
      <c r="K519" s="4">
        <f>IFERROR(H519/I519,"")</f>
        <v>1.2709123916441946E-2</v>
      </c>
    </row>
    <row r="520" spans="1:11">
      <c r="A520" t="s">
        <v>17</v>
      </c>
      <c r="B520" t="s">
        <v>74</v>
      </c>
      <c r="C520" t="s">
        <v>61</v>
      </c>
      <c r="D520" t="s">
        <v>14</v>
      </c>
      <c r="E520" t="s">
        <v>15</v>
      </c>
      <c r="F520" t="s">
        <v>16</v>
      </c>
      <c r="G520" s="6" t="s">
        <v>82</v>
      </c>
      <c r="H520" s="2">
        <v>16494</v>
      </c>
      <c r="I520" s="2">
        <v>1295887.372892532</v>
      </c>
      <c r="J520" s="3">
        <f>IFERROR(I520/H520,"")</f>
        <v>78.567198550535466</v>
      </c>
      <c r="K520" s="4">
        <f>IFERROR(H520/I520,"")</f>
        <v>1.2727957957630202E-2</v>
      </c>
    </row>
    <row r="521" spans="1:11">
      <c r="A521" t="s">
        <v>19</v>
      </c>
      <c r="B521" t="s">
        <v>34</v>
      </c>
      <c r="C521" t="s">
        <v>13</v>
      </c>
      <c r="D521" t="s">
        <v>21</v>
      </c>
      <c r="E521" t="s">
        <v>15</v>
      </c>
      <c r="F521" t="s">
        <v>16</v>
      </c>
      <c r="G521" s="6">
        <v>2025</v>
      </c>
      <c r="H521" s="2">
        <v>8902</v>
      </c>
      <c r="I521" s="2">
        <v>698932.03643320664</v>
      </c>
      <c r="J521" s="3">
        <f>IFERROR(I521/H521,"")</f>
        <v>78.514045881061179</v>
      </c>
      <c r="K521" s="4">
        <f>IFERROR(H521/I521,"")</f>
        <v>1.2736574568006254E-2</v>
      </c>
    </row>
    <row r="522" spans="1:11">
      <c r="A522" t="s">
        <v>18</v>
      </c>
      <c r="B522" t="s">
        <v>75</v>
      </c>
      <c r="C522" t="s">
        <v>17</v>
      </c>
      <c r="D522" t="s">
        <v>21</v>
      </c>
      <c r="E522" t="s">
        <v>15</v>
      </c>
      <c r="F522" t="s">
        <v>16</v>
      </c>
      <c r="G522" s="6">
        <v>2025</v>
      </c>
      <c r="H522" s="2">
        <v>76545</v>
      </c>
      <c r="I522" s="2">
        <v>5993828.4365188973</v>
      </c>
      <c r="J522" s="3">
        <f>IFERROR(I522/H522,"")</f>
        <v>78.30463696543076</v>
      </c>
      <c r="K522" s="4">
        <f>IFERROR(H522/I522,"")</f>
        <v>1.2770635798253828E-2</v>
      </c>
    </row>
    <row r="523" spans="1:11">
      <c r="A523" t="s">
        <v>17</v>
      </c>
      <c r="B523" t="s">
        <v>72</v>
      </c>
      <c r="C523" t="s">
        <v>40</v>
      </c>
      <c r="D523" t="s">
        <v>21</v>
      </c>
      <c r="E523" t="s">
        <v>15</v>
      </c>
      <c r="F523" t="s">
        <v>16</v>
      </c>
      <c r="G523" s="6">
        <v>2024</v>
      </c>
      <c r="H523" s="2">
        <v>95474</v>
      </c>
      <c r="I523" s="2">
        <v>7465862.3960152213</v>
      </c>
      <c r="J523" s="3">
        <f>IFERROR(I523/H523,"")</f>
        <v>78.197859061265063</v>
      </c>
      <c r="K523" s="4">
        <f>IFERROR(H523/I523,"")</f>
        <v>1.2788073893641227E-2</v>
      </c>
    </row>
    <row r="524" spans="1:11">
      <c r="A524" t="s">
        <v>19</v>
      </c>
      <c r="B524" t="s">
        <v>72</v>
      </c>
      <c r="C524" t="s">
        <v>40</v>
      </c>
      <c r="D524" t="s">
        <v>21</v>
      </c>
      <c r="E524" t="s">
        <v>15</v>
      </c>
      <c r="F524" t="s">
        <v>16</v>
      </c>
      <c r="G524" s="6" t="s">
        <v>82</v>
      </c>
      <c r="H524" s="2">
        <v>30389</v>
      </c>
      <c r="I524" s="2">
        <v>2371962.8070484791</v>
      </c>
      <c r="J524" s="3">
        <f>IFERROR(I524/H524,"")</f>
        <v>78.053335320296128</v>
      </c>
      <c r="K524" s="4">
        <f>IFERROR(H524/I524,"")</f>
        <v>1.281175232162015E-2</v>
      </c>
    </row>
    <row r="525" spans="1:11">
      <c r="A525" t="s">
        <v>17</v>
      </c>
      <c r="B525" t="s">
        <v>24</v>
      </c>
      <c r="C525" t="s">
        <v>25</v>
      </c>
      <c r="D525" t="s">
        <v>14</v>
      </c>
      <c r="E525" t="s">
        <v>15</v>
      </c>
      <c r="F525" t="s">
        <v>26</v>
      </c>
      <c r="G525" s="6">
        <v>2025</v>
      </c>
      <c r="H525" s="2">
        <v>23306</v>
      </c>
      <c r="I525" s="2">
        <v>1818121.3475000705</v>
      </c>
      <c r="J525" s="3">
        <f>IFERROR(I525/H525,"")</f>
        <v>78.010870483998559</v>
      </c>
      <c r="K525" s="4">
        <f>IFERROR(H525/I525,"")</f>
        <v>1.2818726336416385E-2</v>
      </c>
    </row>
    <row r="526" spans="1:11">
      <c r="A526" t="s">
        <v>11</v>
      </c>
      <c r="B526" t="s">
        <v>75</v>
      </c>
      <c r="C526" t="s">
        <v>17</v>
      </c>
      <c r="D526" t="s">
        <v>21</v>
      </c>
      <c r="E526" t="s">
        <v>15</v>
      </c>
      <c r="F526" t="s">
        <v>16</v>
      </c>
      <c r="G526" s="6" t="s">
        <v>82</v>
      </c>
      <c r="H526" s="2">
        <v>34934</v>
      </c>
      <c r="I526" s="2">
        <v>2721531.061426423</v>
      </c>
      <c r="J526" s="3">
        <f>IFERROR(I526/H526,"")</f>
        <v>77.904936778680451</v>
      </c>
      <c r="K526" s="4">
        <f>IFERROR(H526/I526,"")</f>
        <v>1.2836157005568113E-2</v>
      </c>
    </row>
    <row r="527" spans="1:11">
      <c r="A527" t="s">
        <v>13</v>
      </c>
      <c r="B527" t="s">
        <v>65</v>
      </c>
      <c r="C527" t="s">
        <v>18</v>
      </c>
      <c r="D527" t="s">
        <v>21</v>
      </c>
      <c r="E527" t="s">
        <v>15</v>
      </c>
      <c r="F527" t="s">
        <v>16</v>
      </c>
      <c r="G527" s="6" t="s">
        <v>81</v>
      </c>
      <c r="H527" s="2">
        <v>3730</v>
      </c>
      <c r="I527" s="2">
        <v>290174.94840804662</v>
      </c>
      <c r="J527" s="3">
        <f>IFERROR(I527/H527,"")</f>
        <v>77.794892334596952</v>
      </c>
      <c r="K527" s="4">
        <f>IFERROR(H527/I527,"")</f>
        <v>1.2854314338517053E-2</v>
      </c>
    </row>
    <row r="528" spans="1:11">
      <c r="A528" t="s">
        <v>18</v>
      </c>
      <c r="B528" t="s">
        <v>75</v>
      </c>
      <c r="C528" t="s">
        <v>17</v>
      </c>
      <c r="D528" t="s">
        <v>21</v>
      </c>
      <c r="E528" t="s">
        <v>15</v>
      </c>
      <c r="F528" t="s">
        <v>16</v>
      </c>
      <c r="G528" s="6" t="s">
        <v>81</v>
      </c>
      <c r="H528" s="2">
        <v>23383</v>
      </c>
      <c r="I528" s="2">
        <v>1817352.7013956751</v>
      </c>
      <c r="J528" s="3">
        <f>IFERROR(I528/H528,"")</f>
        <v>77.721109412636324</v>
      </c>
      <c r="K528" s="4">
        <f>IFERROR(H528/I528,"")</f>
        <v>1.2866517315016795E-2</v>
      </c>
    </row>
    <row r="529" spans="1:11">
      <c r="A529" t="s">
        <v>19</v>
      </c>
      <c r="B529" t="s">
        <v>28</v>
      </c>
      <c r="C529" t="s">
        <v>18</v>
      </c>
      <c r="D529" t="s">
        <v>21</v>
      </c>
      <c r="E529" t="s">
        <v>15</v>
      </c>
      <c r="F529" t="s">
        <v>16</v>
      </c>
      <c r="G529" s="6">
        <v>2024</v>
      </c>
      <c r="H529" s="2">
        <v>21972</v>
      </c>
      <c r="I529" s="2">
        <v>1703893.9127672284</v>
      </c>
      <c r="J529" s="3">
        <f>IFERROR(I529/H529,"")</f>
        <v>77.548421298344635</v>
      </c>
      <c r="K529" s="4">
        <f>IFERROR(H529/I529,"")</f>
        <v>1.2895169021594849E-2</v>
      </c>
    </row>
    <row r="530" spans="1:11">
      <c r="A530" t="s">
        <v>18</v>
      </c>
      <c r="B530" t="s">
        <v>75</v>
      </c>
      <c r="C530" t="s">
        <v>17</v>
      </c>
      <c r="D530" t="s">
        <v>21</v>
      </c>
      <c r="E530" t="s">
        <v>15</v>
      </c>
      <c r="F530" t="s">
        <v>16</v>
      </c>
      <c r="G530" s="6" t="s">
        <v>82</v>
      </c>
      <c r="H530" s="2">
        <v>25249</v>
      </c>
      <c r="I530" s="2">
        <v>1955609.9931506161</v>
      </c>
      <c r="J530" s="3">
        <f>IFERROR(I530/H530,"")</f>
        <v>77.452968163119962</v>
      </c>
      <c r="K530" s="4">
        <f>IFERROR(H530/I530,"")</f>
        <v>1.2911061044089985E-2</v>
      </c>
    </row>
    <row r="531" spans="1:11">
      <c r="A531" t="s">
        <v>17</v>
      </c>
      <c r="B531" t="s">
        <v>55</v>
      </c>
      <c r="C531" t="s">
        <v>43</v>
      </c>
      <c r="D531" t="s">
        <v>21</v>
      </c>
      <c r="E531" t="s">
        <v>15</v>
      </c>
      <c r="F531" t="s">
        <v>16</v>
      </c>
      <c r="G531" s="6" t="s">
        <v>81</v>
      </c>
      <c r="H531" s="2">
        <v>9485</v>
      </c>
      <c r="I531" s="2">
        <v>731729.29127616796</v>
      </c>
      <c r="J531" s="3">
        <f>IFERROR(I531/H531,"")</f>
        <v>77.145945311140537</v>
      </c>
      <c r="K531" s="4">
        <f>IFERROR(H531/I531,"")</f>
        <v>1.2962444052851491E-2</v>
      </c>
    </row>
    <row r="532" spans="1:11">
      <c r="A532" t="s">
        <v>18</v>
      </c>
      <c r="B532" t="s">
        <v>58</v>
      </c>
      <c r="C532" t="s">
        <v>43</v>
      </c>
      <c r="D532" t="s">
        <v>21</v>
      </c>
      <c r="E532" t="s">
        <v>15</v>
      </c>
      <c r="F532" t="s">
        <v>16</v>
      </c>
      <c r="G532" s="6">
        <v>2025</v>
      </c>
      <c r="H532" s="2">
        <v>26549</v>
      </c>
      <c r="I532" s="2">
        <v>2045297.3469392101</v>
      </c>
      <c r="J532" s="3">
        <f>IFERROR(I532/H532,"")</f>
        <v>77.038583258850053</v>
      </c>
      <c r="K532" s="4">
        <f>IFERROR(H532/I532,"")</f>
        <v>1.298050869705112E-2</v>
      </c>
    </row>
    <row r="533" spans="1:11">
      <c r="A533" t="s">
        <v>18</v>
      </c>
      <c r="B533" t="s">
        <v>29</v>
      </c>
      <c r="C533" t="s">
        <v>30</v>
      </c>
      <c r="D533" t="s">
        <v>21</v>
      </c>
      <c r="E533" t="s">
        <v>15</v>
      </c>
      <c r="F533" t="s">
        <v>16</v>
      </c>
      <c r="G533" s="6" t="s">
        <v>81</v>
      </c>
      <c r="H533" s="2">
        <v>20120</v>
      </c>
      <c r="I533" s="2">
        <v>1549568.113858778</v>
      </c>
      <c r="J533" s="3">
        <f>IFERROR(I533/H533,"")</f>
        <v>77.016307845863722</v>
      </c>
      <c r="K533" s="4">
        <f>IFERROR(H533/I533,"")</f>
        <v>1.2984263047267158E-2</v>
      </c>
    </row>
    <row r="534" spans="1:11">
      <c r="A534" t="s">
        <v>13</v>
      </c>
      <c r="B534" t="s">
        <v>46</v>
      </c>
      <c r="C534" t="s">
        <v>38</v>
      </c>
      <c r="D534" t="s">
        <v>21</v>
      </c>
      <c r="E534" t="s">
        <v>15</v>
      </c>
      <c r="F534" t="s">
        <v>16</v>
      </c>
      <c r="G534" s="6" t="s">
        <v>82</v>
      </c>
      <c r="H534" s="2">
        <v>18015</v>
      </c>
      <c r="I534" s="2">
        <v>1381440.1476431731</v>
      </c>
      <c r="J534" s="3">
        <f>IFERROR(I534/H534,"")</f>
        <v>76.68277255859968</v>
      </c>
      <c r="K534" s="4">
        <f>IFERROR(H534/I534,"")</f>
        <v>1.3040738703544098E-2</v>
      </c>
    </row>
    <row r="535" spans="1:11">
      <c r="A535" t="s">
        <v>18</v>
      </c>
      <c r="B535" t="s">
        <v>58</v>
      </c>
      <c r="C535" t="s">
        <v>43</v>
      </c>
      <c r="D535" t="s">
        <v>21</v>
      </c>
      <c r="E535" t="s">
        <v>15</v>
      </c>
      <c r="F535" t="s">
        <v>16</v>
      </c>
      <c r="G535" s="6" t="s">
        <v>81</v>
      </c>
      <c r="H535" s="2">
        <v>8264</v>
      </c>
      <c r="I535" s="2">
        <v>632579.35453390703</v>
      </c>
      <c r="J535" s="3">
        <f>IFERROR(I535/H535,"")</f>
        <v>76.546388496358546</v>
      </c>
      <c r="K535" s="4">
        <f>IFERROR(H535/I535,"")</f>
        <v>1.3063973619703455E-2</v>
      </c>
    </row>
    <row r="536" spans="1:11">
      <c r="A536" t="s">
        <v>18</v>
      </c>
      <c r="B536" t="s">
        <v>53</v>
      </c>
      <c r="C536" t="s">
        <v>17</v>
      </c>
      <c r="D536" t="s">
        <v>14</v>
      </c>
      <c r="E536" t="s">
        <v>15</v>
      </c>
      <c r="F536" t="s">
        <v>16</v>
      </c>
      <c r="G536" s="6">
        <v>2025</v>
      </c>
      <c r="H536" s="2">
        <v>50721</v>
      </c>
      <c r="I536" s="2">
        <v>3876645.9561445131</v>
      </c>
      <c r="J536" s="3">
        <f>IFERROR(I536/H536,"")</f>
        <v>76.43078717187187</v>
      </c>
      <c r="K536" s="4">
        <f>IFERROR(H536/I536,"")</f>
        <v>1.3083732838591265E-2</v>
      </c>
    </row>
    <row r="537" spans="1:11">
      <c r="A537" t="s">
        <v>13</v>
      </c>
      <c r="B537" t="s">
        <v>53</v>
      </c>
      <c r="C537" t="s">
        <v>17</v>
      </c>
      <c r="D537" t="s">
        <v>14</v>
      </c>
      <c r="E537" t="s">
        <v>15</v>
      </c>
      <c r="F537" t="s">
        <v>16</v>
      </c>
      <c r="G537" s="6" t="s">
        <v>82</v>
      </c>
      <c r="H537" s="2">
        <v>21115</v>
      </c>
      <c r="I537" s="2">
        <v>1608202.4755357411</v>
      </c>
      <c r="J537" s="3">
        <f>IFERROR(I537/H537,"")</f>
        <v>76.163981791889228</v>
      </c>
      <c r="K537" s="4">
        <f>IFERROR(H537/I537,"")</f>
        <v>1.3129565661790162E-2</v>
      </c>
    </row>
    <row r="538" spans="1:11">
      <c r="A538" t="s">
        <v>18</v>
      </c>
      <c r="B538" t="s">
        <v>64</v>
      </c>
      <c r="C538" t="s">
        <v>11</v>
      </c>
      <c r="D538" t="s">
        <v>21</v>
      </c>
      <c r="E538" t="s">
        <v>15</v>
      </c>
      <c r="F538" t="s">
        <v>16</v>
      </c>
      <c r="G538" s="6">
        <v>2025</v>
      </c>
      <c r="H538" s="2">
        <v>83308</v>
      </c>
      <c r="I538" s="2">
        <v>6307578.0126706744</v>
      </c>
      <c r="J538" s="3">
        <f>IFERROR(I538/H538,"")</f>
        <v>75.713953193819009</v>
      </c>
      <c r="K538" s="4">
        <f>IFERROR(H538/I538,"")</f>
        <v>1.3207605174704259E-2</v>
      </c>
    </row>
    <row r="539" spans="1:11">
      <c r="A539" t="s">
        <v>18</v>
      </c>
      <c r="B539" t="s">
        <v>53</v>
      </c>
      <c r="C539" t="s">
        <v>17</v>
      </c>
      <c r="D539" t="s">
        <v>14</v>
      </c>
      <c r="E539" t="s">
        <v>15</v>
      </c>
      <c r="F539" t="s">
        <v>16</v>
      </c>
      <c r="G539" s="6" t="s">
        <v>81</v>
      </c>
      <c r="H539" s="2">
        <v>16414</v>
      </c>
      <c r="I539" s="2">
        <v>1237655.472595942</v>
      </c>
      <c r="J539" s="3">
        <f>IFERROR(I539/H539,"")</f>
        <v>75.402429182158031</v>
      </c>
      <c r="K539" s="4">
        <f>IFERROR(H539/I539,"")</f>
        <v>1.3262172198513509E-2</v>
      </c>
    </row>
    <row r="540" spans="1:11">
      <c r="A540" t="s">
        <v>13</v>
      </c>
      <c r="B540" t="s">
        <v>72</v>
      </c>
      <c r="C540" t="s">
        <v>40</v>
      </c>
      <c r="D540" t="s">
        <v>21</v>
      </c>
      <c r="E540" t="s">
        <v>15</v>
      </c>
      <c r="F540" t="s">
        <v>16</v>
      </c>
      <c r="G540" s="6">
        <v>2024</v>
      </c>
      <c r="H540" s="2">
        <v>122944</v>
      </c>
      <c r="I540" s="2">
        <v>9235131.8053822014</v>
      </c>
      <c r="J540" s="3">
        <f>IFERROR(I540/H540,"")</f>
        <v>75.11657181629198</v>
      </c>
      <c r="K540" s="4">
        <f>IFERROR(H540/I540,"")</f>
        <v>1.3312641615829315E-2</v>
      </c>
    </row>
    <row r="541" spans="1:11">
      <c r="A541" t="s">
        <v>11</v>
      </c>
      <c r="B541" t="s">
        <v>34</v>
      </c>
      <c r="C541" t="s">
        <v>13</v>
      </c>
      <c r="D541" t="s">
        <v>21</v>
      </c>
      <c r="E541" t="s">
        <v>15</v>
      </c>
      <c r="F541" t="s">
        <v>16</v>
      </c>
      <c r="G541" s="6" t="s">
        <v>82</v>
      </c>
      <c r="H541" s="2">
        <v>10088</v>
      </c>
      <c r="I541" s="2">
        <v>757032.97729395202</v>
      </c>
      <c r="J541" s="3">
        <f>IFERROR(I541/H541,"")</f>
        <v>75.042920033103883</v>
      </c>
      <c r="K541" s="4">
        <f>IFERROR(H541/I541,"")</f>
        <v>1.3325707469257157E-2</v>
      </c>
    </row>
    <row r="542" spans="1:11">
      <c r="A542" t="s">
        <v>11</v>
      </c>
      <c r="B542" t="s">
        <v>41</v>
      </c>
      <c r="C542" t="s">
        <v>38</v>
      </c>
      <c r="D542" t="s">
        <v>21</v>
      </c>
      <c r="E542" t="s">
        <v>15</v>
      </c>
      <c r="F542" t="s">
        <v>16</v>
      </c>
      <c r="G542" s="6">
        <v>2024</v>
      </c>
      <c r="H542" s="2">
        <v>45451</v>
      </c>
      <c r="I542" s="2">
        <v>3404465.4022662318</v>
      </c>
      <c r="J542" s="3">
        <f>IFERROR(I542/H542,"")</f>
        <v>74.904081368203819</v>
      </c>
      <c r="K542" s="4">
        <f>IFERROR(H542/I542,"")</f>
        <v>1.3350407370785699E-2</v>
      </c>
    </row>
    <row r="543" spans="1:11">
      <c r="A543" t="s">
        <v>18</v>
      </c>
      <c r="B543" t="s">
        <v>29</v>
      </c>
      <c r="C543" t="s">
        <v>30</v>
      </c>
      <c r="D543" t="s">
        <v>21</v>
      </c>
      <c r="E543" t="s">
        <v>15</v>
      </c>
      <c r="F543" t="s">
        <v>16</v>
      </c>
      <c r="G543" s="6">
        <v>2024</v>
      </c>
      <c r="H543" s="2">
        <v>54777</v>
      </c>
      <c r="I543" s="2">
        <v>4099709.9999547238</v>
      </c>
      <c r="J543" s="3">
        <f>IFERROR(I543/H543,"")</f>
        <v>74.843638752664873</v>
      </c>
      <c r="K543" s="4">
        <f>IFERROR(H543/I543,"")</f>
        <v>1.3361188962293661E-2</v>
      </c>
    </row>
    <row r="544" spans="1:11">
      <c r="A544" t="s">
        <v>18</v>
      </c>
      <c r="B544" t="s">
        <v>66</v>
      </c>
      <c r="C544" t="s">
        <v>67</v>
      </c>
      <c r="D544" t="s">
        <v>21</v>
      </c>
      <c r="E544" t="s">
        <v>15</v>
      </c>
      <c r="F544" t="s">
        <v>16</v>
      </c>
      <c r="G544" s="6" t="s">
        <v>81</v>
      </c>
      <c r="H544" s="2">
        <v>13289</v>
      </c>
      <c r="I544" s="2">
        <f>1417000*70%</f>
        <v>991899.99999999988</v>
      </c>
      <c r="J544" s="3">
        <f>IFERROR(I544/H544,"")</f>
        <v>74.640680261870713</v>
      </c>
      <c r="K544" s="4">
        <f>IFERROR(H544/I544,"")</f>
        <v>1.339751991128138E-2</v>
      </c>
    </row>
    <row r="545" spans="1:11">
      <c r="A545" t="s">
        <v>11</v>
      </c>
      <c r="B545" t="s">
        <v>29</v>
      </c>
      <c r="C545" t="s">
        <v>30</v>
      </c>
      <c r="D545" t="s">
        <v>21</v>
      </c>
      <c r="E545" t="s">
        <v>15</v>
      </c>
      <c r="F545" t="s">
        <v>16</v>
      </c>
      <c r="G545" s="6" t="s">
        <v>82</v>
      </c>
      <c r="H545" s="2">
        <v>41143</v>
      </c>
      <c r="I545" s="2">
        <v>3067089.01158565</v>
      </c>
      <c r="J545" s="3">
        <f>IFERROR(I545/H545,"")</f>
        <v>74.547043521027874</v>
      </c>
      <c r="K545" s="4">
        <f>IFERROR(H545/I545,"")</f>
        <v>1.3414348212453586E-2</v>
      </c>
    </row>
    <row r="546" spans="1:11">
      <c r="A546" t="s">
        <v>13</v>
      </c>
      <c r="B546" t="s">
        <v>53</v>
      </c>
      <c r="C546" t="s">
        <v>17</v>
      </c>
      <c r="D546" t="s">
        <v>14</v>
      </c>
      <c r="E546" t="s">
        <v>15</v>
      </c>
      <c r="F546" t="s">
        <v>16</v>
      </c>
      <c r="G546" s="6">
        <v>2025</v>
      </c>
      <c r="H546" s="2">
        <v>54146</v>
      </c>
      <c r="I546" s="2">
        <v>4030916.6780829891</v>
      </c>
      <c r="J546" s="3">
        <f>IFERROR(I546/H546,"")</f>
        <v>74.445327043234755</v>
      </c>
      <c r="K546" s="4">
        <f>IFERROR(H546/I546,"")</f>
        <v>1.3432676565706287E-2</v>
      </c>
    </row>
    <row r="547" spans="1:11">
      <c r="A547" t="s">
        <v>13</v>
      </c>
      <c r="B547" t="s">
        <v>46</v>
      </c>
      <c r="C547" t="s">
        <v>38</v>
      </c>
      <c r="D547" t="s">
        <v>21</v>
      </c>
      <c r="E547" t="s">
        <v>15</v>
      </c>
      <c r="F547" t="s">
        <v>16</v>
      </c>
      <c r="G547" s="6" t="s">
        <v>81</v>
      </c>
      <c r="H547" s="2">
        <v>15912</v>
      </c>
      <c r="I547" s="2">
        <v>1177236.42378829</v>
      </c>
      <c r="J547" s="3">
        <f>IFERROR(I547/H547,"")</f>
        <v>73.984189529178607</v>
      </c>
      <c r="K547" s="4">
        <f>IFERROR(H547/I547,"")</f>
        <v>1.35164013603962E-2</v>
      </c>
    </row>
    <row r="548" spans="1:11">
      <c r="A548" t="s">
        <v>11</v>
      </c>
      <c r="B548" t="s">
        <v>70</v>
      </c>
      <c r="C548" t="s">
        <v>40</v>
      </c>
      <c r="D548" t="s">
        <v>21</v>
      </c>
      <c r="E548" t="s">
        <v>15</v>
      </c>
      <c r="F548" t="s">
        <v>16</v>
      </c>
      <c r="G548" s="6" t="s">
        <v>81</v>
      </c>
      <c r="H548" s="2">
        <v>7431</v>
      </c>
      <c r="I548" s="2">
        <v>549491.25554154301</v>
      </c>
      <c r="J548" s="3">
        <f>IFERROR(I548/H548,"")</f>
        <v>73.945802118361328</v>
      </c>
      <c r="K548" s="4">
        <f>IFERROR(H548/I548,"")</f>
        <v>1.352341811641113E-2</v>
      </c>
    </row>
    <row r="549" spans="1:11">
      <c r="A549" t="s">
        <v>19</v>
      </c>
      <c r="B549" t="s">
        <v>44</v>
      </c>
      <c r="C549" t="s">
        <v>36</v>
      </c>
      <c r="D549" t="s">
        <v>21</v>
      </c>
      <c r="E549" t="s">
        <v>15</v>
      </c>
      <c r="F549" t="s">
        <v>16</v>
      </c>
      <c r="G549" s="6">
        <v>2025</v>
      </c>
      <c r="H549" s="2">
        <v>10101</v>
      </c>
      <c r="I549" s="2">
        <v>744729.2604835172</v>
      </c>
      <c r="J549" s="3">
        <f>IFERROR(I549/H549,"")</f>
        <v>73.728270516138721</v>
      </c>
      <c r="K549" s="4">
        <f>IFERROR(H549/I549,"")</f>
        <v>1.3563318290249402E-2</v>
      </c>
    </row>
    <row r="550" spans="1:11">
      <c r="A550" t="s">
        <v>13</v>
      </c>
      <c r="B550" t="s">
        <v>29</v>
      </c>
      <c r="C550" t="s">
        <v>30</v>
      </c>
      <c r="D550" t="s">
        <v>21</v>
      </c>
      <c r="E550" t="s">
        <v>15</v>
      </c>
      <c r="F550" t="s">
        <v>16</v>
      </c>
      <c r="G550" s="6" t="s">
        <v>82</v>
      </c>
      <c r="H550" s="2">
        <v>30290</v>
      </c>
      <c r="I550" s="2">
        <v>2232168.7016532021</v>
      </c>
      <c r="J550" s="3">
        <f>IFERROR(I550/H550,"")</f>
        <v>73.693255254315019</v>
      </c>
      <c r="K550" s="4">
        <f>IFERROR(H550/I550,"")</f>
        <v>1.3569762884662991E-2</v>
      </c>
    </row>
    <row r="551" spans="1:11">
      <c r="A551" t="s">
        <v>19</v>
      </c>
      <c r="B551" t="s">
        <v>68</v>
      </c>
      <c r="C551" t="s">
        <v>17</v>
      </c>
      <c r="D551" t="s">
        <v>21</v>
      </c>
      <c r="E551" t="s">
        <v>15</v>
      </c>
      <c r="F551" t="s">
        <v>16</v>
      </c>
      <c r="G551" s="6" t="s">
        <v>81</v>
      </c>
      <c r="H551" s="2">
        <v>557</v>
      </c>
      <c r="I551" s="2">
        <v>40993.629361670712</v>
      </c>
      <c r="J551" s="3">
        <f>IFERROR(I551/H551,"")</f>
        <v>73.597180182532696</v>
      </c>
      <c r="K551" s="4">
        <f>IFERROR(H551/I551,"")</f>
        <v>1.3587477095180021E-2</v>
      </c>
    </row>
    <row r="552" spans="1:11">
      <c r="A552" t="s">
        <v>18</v>
      </c>
      <c r="B552" t="s">
        <v>54</v>
      </c>
      <c r="C552" t="s">
        <v>25</v>
      </c>
      <c r="D552" t="s">
        <v>21</v>
      </c>
      <c r="E552" t="s">
        <v>15</v>
      </c>
      <c r="F552" t="s">
        <v>26</v>
      </c>
      <c r="G552" s="6" t="s">
        <v>82</v>
      </c>
      <c r="H552" s="2">
        <v>15481</v>
      </c>
      <c r="I552" s="2">
        <f>1626000*70%</f>
        <v>1138200</v>
      </c>
      <c r="J552" s="3">
        <f>IFERROR(I552/H552,"")</f>
        <v>73.522382275046837</v>
      </c>
      <c r="K552" s="4">
        <f>IFERROR(H552/I552,"")</f>
        <v>1.3601300298717273E-2</v>
      </c>
    </row>
    <row r="553" spans="1:11">
      <c r="A553" t="s">
        <v>13</v>
      </c>
      <c r="B553" t="s">
        <v>75</v>
      </c>
      <c r="C553" t="s">
        <v>17</v>
      </c>
      <c r="D553" t="s">
        <v>21</v>
      </c>
      <c r="E553" t="s">
        <v>15</v>
      </c>
      <c r="F553" t="s">
        <v>16</v>
      </c>
      <c r="G553" s="6">
        <v>2025</v>
      </c>
      <c r="H553" s="2">
        <v>112072</v>
      </c>
      <c r="I553" s="2">
        <v>8209822.3416739451</v>
      </c>
      <c r="J553" s="3">
        <f>IFERROR(I553/H553,"")</f>
        <v>73.254892762455782</v>
      </c>
      <c r="K553" s="4">
        <f>IFERROR(H553/I553,"")</f>
        <v>1.3650965311528171E-2</v>
      </c>
    </row>
    <row r="554" spans="1:11">
      <c r="A554" t="s">
        <v>17</v>
      </c>
      <c r="B554" t="s">
        <v>29</v>
      </c>
      <c r="C554" t="s">
        <v>30</v>
      </c>
      <c r="D554" t="s">
        <v>21</v>
      </c>
      <c r="E554" t="s">
        <v>15</v>
      </c>
      <c r="F554" t="s">
        <v>16</v>
      </c>
      <c r="G554" s="6">
        <v>2024</v>
      </c>
      <c r="H554" s="2">
        <v>71424</v>
      </c>
      <c r="I554" s="2">
        <v>5231469.8064050218</v>
      </c>
      <c r="J554" s="3">
        <f>IFERROR(I554/H554,"")</f>
        <v>73.245264986629451</v>
      </c>
      <c r="K554" s="4">
        <f>IFERROR(H554/I554,"")</f>
        <v>1.3652759672349399E-2</v>
      </c>
    </row>
    <row r="555" spans="1:11">
      <c r="A555" t="s">
        <v>13</v>
      </c>
      <c r="B555" t="s">
        <v>46</v>
      </c>
      <c r="C555" t="s">
        <v>38</v>
      </c>
      <c r="D555" t="s">
        <v>21</v>
      </c>
      <c r="E555" t="s">
        <v>15</v>
      </c>
      <c r="F555" t="s">
        <v>16</v>
      </c>
      <c r="G555" s="6">
        <v>2024</v>
      </c>
      <c r="H555" s="2">
        <v>47786</v>
      </c>
      <c r="I555" s="2">
        <v>3499499.7209807192</v>
      </c>
      <c r="J555" s="3">
        <f>IFERROR(I555/H555,"")</f>
        <v>73.232740153616518</v>
      </c>
      <c r="K555" s="4">
        <f>IFERROR(H555/I555,"")</f>
        <v>1.3655094673534703E-2</v>
      </c>
    </row>
    <row r="556" spans="1:11">
      <c r="A556" t="s">
        <v>17</v>
      </c>
      <c r="B556" t="s">
        <v>55</v>
      </c>
      <c r="C556" t="s">
        <v>43</v>
      </c>
      <c r="D556" t="s">
        <v>21</v>
      </c>
      <c r="E556" t="s">
        <v>15</v>
      </c>
      <c r="F556" t="s">
        <v>16</v>
      </c>
      <c r="G556" s="6">
        <v>2024</v>
      </c>
      <c r="H556" s="2">
        <v>32571</v>
      </c>
      <c r="I556" s="2">
        <v>2379415.055527247</v>
      </c>
      <c r="J556" s="3">
        <f>IFERROR(I556/H556,"")</f>
        <v>73.053177843088847</v>
      </c>
      <c r="K556" s="4">
        <f>IFERROR(H556/I556,"")</f>
        <v>1.3688658447520286E-2</v>
      </c>
    </row>
    <row r="557" spans="1:11">
      <c r="A557" t="s">
        <v>18</v>
      </c>
      <c r="B557" t="s">
        <v>53</v>
      </c>
      <c r="C557" t="s">
        <v>17</v>
      </c>
      <c r="D557" t="s">
        <v>14</v>
      </c>
      <c r="E557" t="s">
        <v>15</v>
      </c>
      <c r="F557" t="s">
        <v>16</v>
      </c>
      <c r="G557" s="6" t="s">
        <v>82</v>
      </c>
      <c r="H557" s="2">
        <v>18633</v>
      </c>
      <c r="I557" s="2">
        <v>1352978.0064125471</v>
      </c>
      <c r="J557" s="3">
        <f>IFERROR(I557/H557,"")</f>
        <v>72.611925423310637</v>
      </c>
      <c r="K557" s="4">
        <f>IFERROR(H557/I557,"")</f>
        <v>1.3771842492403728E-2</v>
      </c>
    </row>
    <row r="558" spans="1:11">
      <c r="A558" t="s">
        <v>19</v>
      </c>
      <c r="B558" t="s">
        <v>27</v>
      </c>
      <c r="C558" t="s">
        <v>11</v>
      </c>
      <c r="D558" t="s">
        <v>21</v>
      </c>
      <c r="E558" t="s">
        <v>15</v>
      </c>
      <c r="F558" t="s">
        <v>16</v>
      </c>
      <c r="G558" s="6">
        <v>2024</v>
      </c>
      <c r="H558" s="2">
        <v>30371</v>
      </c>
      <c r="I558" s="2">
        <v>2190484.501398237</v>
      </c>
      <c r="J558" s="3">
        <f>IFERROR(I558/H558,"")</f>
        <v>72.124213934287212</v>
      </c>
      <c r="K558" s="4">
        <f>IFERROR(H558/I558,"")</f>
        <v>1.3864969133821074E-2</v>
      </c>
    </row>
    <row r="559" spans="1:11">
      <c r="A559" t="s">
        <v>18</v>
      </c>
      <c r="B559" t="s">
        <v>64</v>
      </c>
      <c r="C559" t="s">
        <v>11</v>
      </c>
      <c r="D559" t="s">
        <v>21</v>
      </c>
      <c r="E559" t="s">
        <v>15</v>
      </c>
      <c r="F559" t="s">
        <v>16</v>
      </c>
      <c r="G559" s="6" t="s">
        <v>81</v>
      </c>
      <c r="H559" s="2">
        <v>28605</v>
      </c>
      <c r="I559" s="2">
        <v>2057535.8251890989</v>
      </c>
      <c r="J559" s="3">
        <f>IFERROR(I559/H559,"")</f>
        <v>71.929237028110435</v>
      </c>
      <c r="K559" s="4">
        <f>IFERROR(H559/I559,"")</f>
        <v>1.3902552582466476E-2</v>
      </c>
    </row>
    <row r="560" spans="1:11">
      <c r="A560" t="s">
        <v>17</v>
      </c>
      <c r="B560" t="s">
        <v>44</v>
      </c>
      <c r="C560" t="s">
        <v>36</v>
      </c>
      <c r="D560" t="s">
        <v>21</v>
      </c>
      <c r="E560" t="s">
        <v>15</v>
      </c>
      <c r="F560" t="s">
        <v>16</v>
      </c>
      <c r="G560" s="6">
        <v>2025</v>
      </c>
      <c r="H560" s="2">
        <v>12039</v>
      </c>
      <c r="I560" s="2">
        <v>859333.62356155692</v>
      </c>
      <c r="J560" s="3">
        <f>IFERROR(I560/H560,"")</f>
        <v>71.379153049385906</v>
      </c>
      <c r="K560" s="4">
        <f>IFERROR(H560/I560,"")</f>
        <v>1.4009692708291435E-2</v>
      </c>
    </row>
    <row r="561" spans="1:11">
      <c r="A561" t="s">
        <v>19</v>
      </c>
      <c r="B561" t="s">
        <v>44</v>
      </c>
      <c r="C561" t="s">
        <v>36</v>
      </c>
      <c r="D561" t="s">
        <v>21</v>
      </c>
      <c r="E561" t="s">
        <v>15</v>
      </c>
      <c r="F561" t="s">
        <v>16</v>
      </c>
      <c r="G561" s="6" t="s">
        <v>82</v>
      </c>
      <c r="H561" s="2">
        <v>4609</v>
      </c>
      <c r="I561" s="2">
        <v>328768.30201599386</v>
      </c>
      <c r="J561" s="3">
        <f>IFERROR(I561/H561,"")</f>
        <v>71.331807770881724</v>
      </c>
      <c r="K561" s="4">
        <f>IFERROR(H561/I561,"")</f>
        <v>1.4018991404395739E-2</v>
      </c>
    </row>
    <row r="562" spans="1:11">
      <c r="A562" t="s">
        <v>19</v>
      </c>
      <c r="B562" t="s">
        <v>35</v>
      </c>
      <c r="C562" t="s">
        <v>36</v>
      </c>
      <c r="D562" t="s">
        <v>21</v>
      </c>
      <c r="E562" t="s">
        <v>15</v>
      </c>
      <c r="F562" t="s">
        <v>16</v>
      </c>
      <c r="G562" s="6">
        <v>2024</v>
      </c>
      <c r="H562" s="2">
        <v>109955</v>
      </c>
      <c r="I562" s="2">
        <v>7843266.2342239348</v>
      </c>
      <c r="J562" s="3">
        <f>IFERROR(I562/H562,"")</f>
        <v>71.331601420798819</v>
      </c>
      <c r="K562" s="4">
        <f>IFERROR(H562/I562,"")</f>
        <v>1.4019031958932308E-2</v>
      </c>
    </row>
    <row r="563" spans="1:11">
      <c r="A563" t="s">
        <v>13</v>
      </c>
      <c r="B563" t="s">
        <v>12</v>
      </c>
      <c r="C563" t="s">
        <v>13</v>
      </c>
      <c r="D563" t="s">
        <v>14</v>
      </c>
      <c r="E563" t="s">
        <v>15</v>
      </c>
      <c r="F563" t="s">
        <v>16</v>
      </c>
      <c r="G563" s="6">
        <v>2025</v>
      </c>
      <c r="H563" s="2">
        <v>28202</v>
      </c>
      <c r="I563" s="2">
        <v>2006329.421343259</v>
      </c>
      <c r="J563" s="3">
        <f>IFERROR(I563/H563,"")</f>
        <v>71.141387892463626</v>
      </c>
      <c r="K563" s="4">
        <f>IFERROR(H563/I563,"")</f>
        <v>1.4056515196352181E-2</v>
      </c>
    </row>
    <row r="564" spans="1:11">
      <c r="A564" t="s">
        <v>19</v>
      </c>
      <c r="B564" t="s">
        <v>65</v>
      </c>
      <c r="C564" t="s">
        <v>18</v>
      </c>
      <c r="D564" t="s">
        <v>21</v>
      </c>
      <c r="E564" t="s">
        <v>15</v>
      </c>
      <c r="F564" t="s">
        <v>16</v>
      </c>
      <c r="G564" s="6">
        <v>2024</v>
      </c>
      <c r="H564" s="2">
        <v>23018</v>
      </c>
      <c r="I564" s="2">
        <v>1637357.3879816358</v>
      </c>
      <c r="J564" s="3">
        <f>IFERROR(I564/H564,"")</f>
        <v>71.133781735234848</v>
      </c>
      <c r="K564" s="4">
        <f>IFERROR(H564/I564,"")</f>
        <v>1.4058018224337816E-2</v>
      </c>
    </row>
    <row r="565" spans="1:11">
      <c r="A565" t="s">
        <v>17</v>
      </c>
      <c r="B565" t="s">
        <v>48</v>
      </c>
      <c r="C565" t="s">
        <v>43</v>
      </c>
      <c r="D565" t="s">
        <v>14</v>
      </c>
      <c r="E565" t="s">
        <v>15</v>
      </c>
      <c r="F565" t="s">
        <v>16</v>
      </c>
      <c r="G565" s="6" t="s">
        <v>82</v>
      </c>
      <c r="H565" s="2">
        <v>5356</v>
      </c>
      <c r="I565" s="2">
        <v>377198.80718755268</v>
      </c>
      <c r="J565" s="3">
        <f>IFERROR(I565/H565,"")</f>
        <v>70.425468108206246</v>
      </c>
      <c r="K565" s="4">
        <f>IFERROR(H565/I565,"")</f>
        <v>1.4199408635289939E-2</v>
      </c>
    </row>
    <row r="566" spans="1:11">
      <c r="A566" t="s">
        <v>11</v>
      </c>
      <c r="B566" t="s">
        <v>68</v>
      </c>
      <c r="C566" t="s">
        <v>17</v>
      </c>
      <c r="D566" t="s">
        <v>21</v>
      </c>
      <c r="E566" t="s">
        <v>15</v>
      </c>
      <c r="F566" t="s">
        <v>16</v>
      </c>
      <c r="G566" s="6">
        <v>2024</v>
      </c>
      <c r="H566" s="2">
        <v>2216</v>
      </c>
      <c r="I566" s="2">
        <v>155997.18831611722</v>
      </c>
      <c r="J566" s="3">
        <f>IFERROR(I566/H566,"")</f>
        <v>70.395843102940987</v>
      </c>
      <c r="K566" s="4">
        <f>IFERROR(H566/I566,"")</f>
        <v>1.4205384237499419E-2</v>
      </c>
    </row>
    <row r="567" spans="1:11">
      <c r="A567" t="s">
        <v>13</v>
      </c>
      <c r="B567" t="s">
        <v>29</v>
      </c>
      <c r="C567" t="s">
        <v>30</v>
      </c>
      <c r="D567" t="s">
        <v>21</v>
      </c>
      <c r="E567" t="s">
        <v>15</v>
      </c>
      <c r="F567" t="s">
        <v>16</v>
      </c>
      <c r="G567" s="6">
        <v>2025</v>
      </c>
      <c r="H567" s="2">
        <v>95293</v>
      </c>
      <c r="I567" s="2">
        <v>6696891.7071497263</v>
      </c>
      <c r="J567" s="3">
        <f>IFERROR(I567/H567,"")</f>
        <v>70.276848322014487</v>
      </c>
      <c r="K567" s="4">
        <f>IFERROR(H567/I567,"")</f>
        <v>1.4229437202674701E-2</v>
      </c>
    </row>
    <row r="568" spans="1:11">
      <c r="A568" t="s">
        <v>19</v>
      </c>
      <c r="B568" t="s">
        <v>23</v>
      </c>
      <c r="C568" t="s">
        <v>17</v>
      </c>
      <c r="D568" t="s">
        <v>14</v>
      </c>
      <c r="E568" t="s">
        <v>15</v>
      </c>
      <c r="F568" t="s">
        <v>16</v>
      </c>
      <c r="G568" s="6">
        <v>2025</v>
      </c>
      <c r="H568" s="2">
        <v>114035</v>
      </c>
      <c r="I568" s="2">
        <v>8011013.8910377827</v>
      </c>
      <c r="J568" s="3">
        <f>IFERROR(I568/H568,"")</f>
        <v>70.250483544857133</v>
      </c>
      <c r="K568" s="4">
        <f>IFERROR(H568/I568,"")</f>
        <v>1.4234777464008041E-2</v>
      </c>
    </row>
    <row r="569" spans="1:11">
      <c r="A569" t="s">
        <v>11</v>
      </c>
      <c r="B569" t="s">
        <v>74</v>
      </c>
      <c r="C569" t="s">
        <v>61</v>
      </c>
      <c r="D569" t="s">
        <v>14</v>
      </c>
      <c r="E569" t="s">
        <v>15</v>
      </c>
      <c r="F569" t="s">
        <v>16</v>
      </c>
      <c r="G569" s="6">
        <v>2024</v>
      </c>
      <c r="H569" s="2">
        <v>19793</v>
      </c>
      <c r="I569" s="2">
        <v>1387857.4483197939</v>
      </c>
      <c r="J569" s="3">
        <f>IFERROR(I569/H569,"")</f>
        <v>70.118599925215676</v>
      </c>
      <c r="K569" s="4">
        <f>IFERROR(H569/I569,"")</f>
        <v>1.4261551158559076E-2</v>
      </c>
    </row>
    <row r="570" spans="1:11">
      <c r="A570" t="s">
        <v>19</v>
      </c>
      <c r="B570" t="s">
        <v>29</v>
      </c>
      <c r="C570" t="s">
        <v>30</v>
      </c>
      <c r="D570" t="s">
        <v>21</v>
      </c>
      <c r="E570" t="s">
        <v>15</v>
      </c>
      <c r="F570" t="s">
        <v>16</v>
      </c>
      <c r="G570" s="6" t="s">
        <v>81</v>
      </c>
      <c r="H570" s="2">
        <v>11238</v>
      </c>
      <c r="I570" s="2">
        <v>783137.30132846301</v>
      </c>
      <c r="J570" s="3">
        <f>IFERROR(I570/H570,"")</f>
        <v>69.686536868523135</v>
      </c>
      <c r="K570" s="4">
        <f>IFERROR(H570/I570,"")</f>
        <v>1.4349974111738249E-2</v>
      </c>
    </row>
    <row r="571" spans="1:11">
      <c r="A571" t="s">
        <v>19</v>
      </c>
      <c r="B571" t="s">
        <v>65</v>
      </c>
      <c r="C571" t="s">
        <v>18</v>
      </c>
      <c r="D571" t="s">
        <v>21</v>
      </c>
      <c r="E571" t="s">
        <v>15</v>
      </c>
      <c r="F571" t="s">
        <v>16</v>
      </c>
      <c r="G571" s="6" t="s">
        <v>81</v>
      </c>
      <c r="H571" s="2">
        <v>8795</v>
      </c>
      <c r="I571" s="2">
        <v>609054.55352091498</v>
      </c>
      <c r="J571" s="3">
        <f>IFERROR(I571/H571,"")</f>
        <v>69.250091361104609</v>
      </c>
      <c r="K571" s="4">
        <f>IFERROR(H571/I571,"")</f>
        <v>1.444041416184565E-2</v>
      </c>
    </row>
    <row r="572" spans="1:11">
      <c r="A572" t="s">
        <v>13</v>
      </c>
      <c r="B572" t="s">
        <v>22</v>
      </c>
      <c r="C572" t="s">
        <v>17</v>
      </c>
      <c r="D572" t="s">
        <v>14</v>
      </c>
      <c r="E572" t="s">
        <v>15</v>
      </c>
      <c r="F572" t="s">
        <v>16</v>
      </c>
      <c r="G572" s="6" t="s">
        <v>81</v>
      </c>
      <c r="H572" s="2">
        <v>24688</v>
      </c>
      <c r="I572" s="2">
        <v>1706379.9274197321</v>
      </c>
      <c r="J572" s="3">
        <f>IFERROR(I572/H572,"")</f>
        <v>69.117787079541969</v>
      </c>
      <c r="K572" s="4">
        <f>IFERROR(H572/I572,"")</f>
        <v>1.4468055796537328E-2</v>
      </c>
    </row>
    <row r="573" spans="1:11">
      <c r="A573" t="s">
        <v>11</v>
      </c>
      <c r="B573" t="s">
        <v>72</v>
      </c>
      <c r="C573" t="s">
        <v>40</v>
      </c>
      <c r="D573" t="s">
        <v>21</v>
      </c>
      <c r="E573" t="s">
        <v>15</v>
      </c>
      <c r="F573" t="s">
        <v>16</v>
      </c>
      <c r="G573" s="6">
        <v>2024</v>
      </c>
      <c r="H573" s="2">
        <v>127519</v>
      </c>
      <c r="I573" s="2">
        <v>8764905.3535298742</v>
      </c>
      <c r="J573" s="3">
        <f>IFERROR(I573/H573,"")</f>
        <v>68.734112983397566</v>
      </c>
      <c r="K573" s="4">
        <f>IFERROR(H573/I573,"")</f>
        <v>1.4548816542399343E-2</v>
      </c>
    </row>
    <row r="574" spans="1:11">
      <c r="A574" t="s">
        <v>17</v>
      </c>
      <c r="B574" t="s">
        <v>52</v>
      </c>
      <c r="C574" t="s">
        <v>40</v>
      </c>
      <c r="D574" t="s">
        <v>21</v>
      </c>
      <c r="E574" t="s">
        <v>15</v>
      </c>
      <c r="F574" t="s">
        <v>16</v>
      </c>
      <c r="G574" s="6">
        <v>2024</v>
      </c>
      <c r="H574" s="2">
        <v>45274</v>
      </c>
      <c r="I574" s="2">
        <v>3106065.2529418389</v>
      </c>
      <c r="J574" s="3">
        <f>IFERROR(I574/H574,"")</f>
        <v>68.605938351854022</v>
      </c>
      <c r="K574" s="4">
        <f>IFERROR(H574/I574,"")</f>
        <v>1.4575997705495647E-2</v>
      </c>
    </row>
    <row r="575" spans="1:11">
      <c r="A575" t="s">
        <v>18</v>
      </c>
      <c r="B575" t="s">
        <v>58</v>
      </c>
      <c r="C575" t="s">
        <v>43</v>
      </c>
      <c r="D575" t="s">
        <v>21</v>
      </c>
      <c r="E575" t="s">
        <v>15</v>
      </c>
      <c r="F575" t="s">
        <v>16</v>
      </c>
      <c r="G575" s="6" t="s">
        <v>82</v>
      </c>
      <c r="H575" s="2">
        <v>10021</v>
      </c>
      <c r="I575" s="2">
        <v>687275.89871588198</v>
      </c>
      <c r="J575" s="3">
        <f>IFERROR(I575/H575,"")</f>
        <v>68.583564386376807</v>
      </c>
      <c r="K575" s="4">
        <f>IFERROR(H575/I575,"")</f>
        <v>1.458075282244497E-2</v>
      </c>
    </row>
    <row r="576" spans="1:11">
      <c r="A576" t="s">
        <v>19</v>
      </c>
      <c r="B576" t="s">
        <v>65</v>
      </c>
      <c r="C576" t="s">
        <v>18</v>
      </c>
      <c r="D576" t="s">
        <v>21</v>
      </c>
      <c r="E576" t="s">
        <v>15</v>
      </c>
      <c r="F576" t="s">
        <v>16</v>
      </c>
      <c r="G576" s="6" t="s">
        <v>82</v>
      </c>
      <c r="H576" s="2">
        <v>5620</v>
      </c>
      <c r="I576" s="2">
        <v>384983.53109505132</v>
      </c>
      <c r="J576" s="3">
        <f>IFERROR(I576/H576,"")</f>
        <v>68.502407668158597</v>
      </c>
      <c r="K576" s="4">
        <f>IFERROR(H576/I576,"")</f>
        <v>1.459802704810362E-2</v>
      </c>
    </row>
    <row r="577" spans="1:11">
      <c r="A577" t="s">
        <v>17</v>
      </c>
      <c r="B577" t="s">
        <v>45</v>
      </c>
      <c r="C577" t="s">
        <v>38</v>
      </c>
      <c r="D577" t="s">
        <v>21</v>
      </c>
      <c r="E577" t="s">
        <v>15</v>
      </c>
      <c r="F577" t="s">
        <v>16</v>
      </c>
      <c r="G577" s="6">
        <v>2025</v>
      </c>
      <c r="H577" s="2">
        <v>2981</v>
      </c>
      <c r="I577" s="2">
        <v>204187.66428102521</v>
      </c>
      <c r="J577" s="3">
        <f>IFERROR(I577/H577,"")</f>
        <v>68.49636507246737</v>
      </c>
      <c r="K577" s="4">
        <f>IFERROR(H577/I577,"")</f>
        <v>1.4599314853306832E-2</v>
      </c>
    </row>
    <row r="578" spans="1:11">
      <c r="A578" t="s">
        <v>17</v>
      </c>
      <c r="B578" t="s">
        <v>35</v>
      </c>
      <c r="C578" t="s">
        <v>36</v>
      </c>
      <c r="D578" t="s">
        <v>21</v>
      </c>
      <c r="E578" t="s">
        <v>15</v>
      </c>
      <c r="F578" t="s">
        <v>16</v>
      </c>
      <c r="G578" s="6" t="s">
        <v>82</v>
      </c>
      <c r="H578" s="2">
        <v>31673</v>
      </c>
      <c r="I578" s="2">
        <v>2167152.2131931679</v>
      </c>
      <c r="J578" s="3">
        <f>IFERROR(I578/H578,"")</f>
        <v>68.422701139556338</v>
      </c>
      <c r="K578" s="4">
        <f>IFERROR(H578/I578,"")</f>
        <v>1.4615032486957502E-2</v>
      </c>
    </row>
    <row r="579" spans="1:11">
      <c r="A579" t="s">
        <v>17</v>
      </c>
      <c r="B579" t="s">
        <v>46</v>
      </c>
      <c r="C579" t="s">
        <v>38</v>
      </c>
      <c r="D579" t="s">
        <v>21</v>
      </c>
      <c r="E579" t="s">
        <v>15</v>
      </c>
      <c r="F579" t="s">
        <v>16</v>
      </c>
      <c r="G579" s="6">
        <v>2024</v>
      </c>
      <c r="H579" s="2">
        <v>68656</v>
      </c>
      <c r="I579" s="2">
        <v>4685769.7166827712</v>
      </c>
      <c r="J579" s="3">
        <f>IFERROR(I579/H579,"")</f>
        <v>68.249966742641149</v>
      </c>
      <c r="K579" s="4">
        <f>IFERROR(H579/I579,"")</f>
        <v>1.4652021791758923E-2</v>
      </c>
    </row>
    <row r="580" spans="1:11">
      <c r="A580" t="s">
        <v>17</v>
      </c>
      <c r="B580" t="s">
        <v>41</v>
      </c>
      <c r="C580" t="s">
        <v>38</v>
      </c>
      <c r="D580" t="s">
        <v>21</v>
      </c>
      <c r="E580" t="s">
        <v>15</v>
      </c>
      <c r="F580" t="s">
        <v>16</v>
      </c>
      <c r="G580" s="6" t="s">
        <v>82</v>
      </c>
      <c r="H580" s="2">
        <v>32444</v>
      </c>
      <c r="I580" s="2">
        <v>2211657.6589521929</v>
      </c>
      <c r="J580" s="3">
        <f>IFERROR(I580/H580,"")</f>
        <v>68.168464398723742</v>
      </c>
      <c r="K580" s="4">
        <f>IFERROR(H580/I580,"")</f>
        <v>1.4669539776499971E-2</v>
      </c>
    </row>
    <row r="581" spans="1:11">
      <c r="A581" t="s">
        <v>13</v>
      </c>
      <c r="B581" t="s">
        <v>56</v>
      </c>
      <c r="C581" t="s">
        <v>40</v>
      </c>
      <c r="D581" t="s">
        <v>21</v>
      </c>
      <c r="E581" t="s">
        <v>15</v>
      </c>
      <c r="F581" t="s">
        <v>16</v>
      </c>
      <c r="G581" s="6" t="s">
        <v>81</v>
      </c>
      <c r="H581" s="2">
        <v>15308</v>
      </c>
      <c r="I581" s="2">
        <v>1040562.51925771</v>
      </c>
      <c r="J581" s="3">
        <f>IFERROR(I581/H581,"")</f>
        <v>67.975079648400182</v>
      </c>
      <c r="K581" s="4">
        <f>IFERROR(H581/I581,"")</f>
        <v>1.4711273678125589E-2</v>
      </c>
    </row>
    <row r="582" spans="1:11">
      <c r="A582" t="s">
        <v>18</v>
      </c>
      <c r="B582" t="s">
        <v>29</v>
      </c>
      <c r="C582" t="s">
        <v>30</v>
      </c>
      <c r="D582" t="s">
        <v>21</v>
      </c>
      <c r="E582" t="s">
        <v>15</v>
      </c>
      <c r="F582" t="s">
        <v>16</v>
      </c>
      <c r="G582" s="6">
        <v>2025</v>
      </c>
      <c r="H582" s="2">
        <v>65788</v>
      </c>
      <c r="I582" s="2">
        <v>4462094.9464409919</v>
      </c>
      <c r="J582" s="3">
        <f>IFERROR(I582/H582,"")</f>
        <v>67.825362474022498</v>
      </c>
      <c r="K582" s="4">
        <f>IFERROR(H582/I582,"")</f>
        <v>1.4743747228523929E-2</v>
      </c>
    </row>
    <row r="583" spans="1:11">
      <c r="A583" t="s">
        <v>13</v>
      </c>
      <c r="B583" t="s">
        <v>12</v>
      </c>
      <c r="C583" t="s">
        <v>13</v>
      </c>
      <c r="D583" t="s">
        <v>14</v>
      </c>
      <c r="E583" t="s">
        <v>15</v>
      </c>
      <c r="F583" t="s">
        <v>16</v>
      </c>
      <c r="G583" s="6" t="s">
        <v>82</v>
      </c>
      <c r="H583" s="2">
        <v>9572</v>
      </c>
      <c r="I583" s="2">
        <v>648013.90895409894</v>
      </c>
      <c r="J583" s="3">
        <f>IFERROR(I583/H583,"")</f>
        <v>67.698903986011175</v>
      </c>
      <c r="K583" s="4">
        <f>IFERROR(H583/I583,"")</f>
        <v>1.4771287880918029E-2</v>
      </c>
    </row>
    <row r="584" spans="1:11">
      <c r="A584" t="s">
        <v>11</v>
      </c>
      <c r="B584" t="s">
        <v>75</v>
      </c>
      <c r="C584" t="s">
        <v>17</v>
      </c>
      <c r="D584" t="s">
        <v>21</v>
      </c>
      <c r="E584" t="s">
        <v>15</v>
      </c>
      <c r="F584" t="s">
        <v>16</v>
      </c>
      <c r="G584" s="6">
        <v>2025</v>
      </c>
      <c r="H584" s="2">
        <v>110960</v>
      </c>
      <c r="I584" s="2">
        <v>7500208.4791345932</v>
      </c>
      <c r="J584" s="3">
        <f>IFERROR(I584/H584,"")</f>
        <v>67.593803885495618</v>
      </c>
      <c r="K584" s="4">
        <f>IFERROR(H584/I584,"")</f>
        <v>1.4794255427524203E-2</v>
      </c>
    </row>
    <row r="585" spans="1:11">
      <c r="A585" t="s">
        <v>13</v>
      </c>
      <c r="B585" t="s">
        <v>75</v>
      </c>
      <c r="C585" t="s">
        <v>17</v>
      </c>
      <c r="D585" t="s">
        <v>21</v>
      </c>
      <c r="E585" t="s">
        <v>15</v>
      </c>
      <c r="F585" t="s">
        <v>16</v>
      </c>
      <c r="G585" s="6">
        <v>2024</v>
      </c>
      <c r="H585" s="2">
        <v>121290</v>
      </c>
      <c r="I585" s="2">
        <v>8164297.5665919036</v>
      </c>
      <c r="J585" s="3">
        <f>IFERROR(I585/H585,"")</f>
        <v>67.312206831493967</v>
      </c>
      <c r="K585" s="4">
        <f>IFERROR(H585/I585,"")</f>
        <v>1.4856146411947989E-2</v>
      </c>
    </row>
    <row r="586" spans="1:11">
      <c r="A586" t="s">
        <v>18</v>
      </c>
      <c r="B586" t="s">
        <v>45</v>
      </c>
      <c r="C586" t="s">
        <v>38</v>
      </c>
      <c r="D586" t="s">
        <v>21</v>
      </c>
      <c r="E586" t="s">
        <v>15</v>
      </c>
      <c r="F586" t="s">
        <v>16</v>
      </c>
      <c r="G586" s="6">
        <v>2024</v>
      </c>
      <c r="H586" s="2">
        <v>5030</v>
      </c>
      <c r="I586" s="2">
        <v>337862</v>
      </c>
      <c r="J586" s="3">
        <f>IFERROR(I586/H586,"")</f>
        <v>67.169383697813117</v>
      </c>
      <c r="K586" s="4">
        <f>IFERROR(H586/I586,"")</f>
        <v>1.488773522917641E-2</v>
      </c>
    </row>
    <row r="587" spans="1:11">
      <c r="A587" t="s">
        <v>13</v>
      </c>
      <c r="B587" t="s">
        <v>29</v>
      </c>
      <c r="C587" t="s">
        <v>30</v>
      </c>
      <c r="D587" t="s">
        <v>21</v>
      </c>
      <c r="E587" t="s">
        <v>15</v>
      </c>
      <c r="F587" t="s">
        <v>16</v>
      </c>
      <c r="G587" s="6">
        <v>2024</v>
      </c>
      <c r="H587" s="2">
        <v>97263</v>
      </c>
      <c r="I587" s="2">
        <v>6524245.7628438314</v>
      </c>
      <c r="J587" s="3">
        <f>IFERROR(I587/H587,"")</f>
        <v>67.07839325173839</v>
      </c>
      <c r="K587" s="4">
        <f>IFERROR(H587/I587,"")</f>
        <v>1.4907930132540617E-2</v>
      </c>
    </row>
    <row r="588" spans="1:11">
      <c r="A588" t="s">
        <v>13</v>
      </c>
      <c r="B588" t="s">
        <v>53</v>
      </c>
      <c r="C588" t="s">
        <v>17</v>
      </c>
      <c r="D588" t="s">
        <v>14</v>
      </c>
      <c r="E588" t="s">
        <v>15</v>
      </c>
      <c r="F588" t="s">
        <v>16</v>
      </c>
      <c r="G588" s="6" t="s">
        <v>81</v>
      </c>
      <c r="H588" s="2">
        <v>19291</v>
      </c>
      <c r="I588" s="2">
        <v>1292097.7731471779</v>
      </c>
      <c r="J588" s="3">
        <f>IFERROR(I588/H588,"")</f>
        <v>66.979305020329576</v>
      </c>
      <c r="K588" s="4">
        <f>IFERROR(H588/I588,"")</f>
        <v>1.4929984712389592E-2</v>
      </c>
    </row>
    <row r="589" spans="1:11">
      <c r="A589" t="s">
        <v>13</v>
      </c>
      <c r="B589" t="s">
        <v>27</v>
      </c>
      <c r="C589" t="s">
        <v>11</v>
      </c>
      <c r="D589" t="s">
        <v>21</v>
      </c>
      <c r="E589" t="s">
        <v>15</v>
      </c>
      <c r="F589" t="s">
        <v>16</v>
      </c>
      <c r="G589" s="6">
        <v>2024</v>
      </c>
      <c r="H589" s="2">
        <v>56635</v>
      </c>
      <c r="I589" s="2">
        <v>3790235.7287941491</v>
      </c>
      <c r="J589" s="3">
        <f>IFERROR(I589/H589,"")</f>
        <v>66.923911517509481</v>
      </c>
      <c r="K589" s="4">
        <f>IFERROR(H589/I589,"")</f>
        <v>1.4942342390408059E-2</v>
      </c>
    </row>
    <row r="590" spans="1:11">
      <c r="A590" t="s">
        <v>19</v>
      </c>
      <c r="B590" t="s">
        <v>56</v>
      </c>
      <c r="C590" t="s">
        <v>40</v>
      </c>
      <c r="D590" t="s">
        <v>21</v>
      </c>
      <c r="E590" t="s">
        <v>15</v>
      </c>
      <c r="F590" t="s">
        <v>16</v>
      </c>
      <c r="G590" s="6" t="s">
        <v>82</v>
      </c>
      <c r="H590" s="2">
        <v>28389</v>
      </c>
      <c r="I590" s="2">
        <v>1892447.872213288</v>
      </c>
      <c r="J590" s="3">
        <f>IFERROR(I590/H590,"")</f>
        <v>66.661307978910429</v>
      </c>
      <c r="K590" s="4">
        <f>IFERROR(H590/I590,"")</f>
        <v>1.5001205801667875E-2</v>
      </c>
    </row>
    <row r="591" spans="1:11">
      <c r="A591" t="s">
        <v>19</v>
      </c>
      <c r="B591" t="s">
        <v>35</v>
      </c>
      <c r="C591" t="s">
        <v>36</v>
      </c>
      <c r="D591" t="s">
        <v>21</v>
      </c>
      <c r="E591" t="s">
        <v>15</v>
      </c>
      <c r="F591" t="s">
        <v>16</v>
      </c>
      <c r="G591" s="6">
        <v>2025</v>
      </c>
      <c r="H591" s="2">
        <v>109043</v>
      </c>
      <c r="I591" s="2">
        <v>7210227.1194993723</v>
      </c>
      <c r="J591" s="3">
        <f>IFERROR(I591/H591,"")</f>
        <v>66.122787519596599</v>
      </c>
      <c r="K591" s="4">
        <f>IFERROR(H591/I591,"")</f>
        <v>1.5123379360007065E-2</v>
      </c>
    </row>
    <row r="592" spans="1:11">
      <c r="A592" t="s">
        <v>11</v>
      </c>
      <c r="B592" t="s">
        <v>27</v>
      </c>
      <c r="C592" t="s">
        <v>11</v>
      </c>
      <c r="D592" t="s">
        <v>21</v>
      </c>
      <c r="E592" t="s">
        <v>15</v>
      </c>
      <c r="F592" t="s">
        <v>16</v>
      </c>
      <c r="G592" s="6" t="s">
        <v>81</v>
      </c>
      <c r="H592" s="2">
        <v>41047</v>
      </c>
      <c r="I592" s="2">
        <v>2712438.6752044209</v>
      </c>
      <c r="J592" s="3">
        <f>IFERROR(I592/H592,"")</f>
        <v>66.081289136950829</v>
      </c>
      <c r="K592" s="4">
        <f>IFERROR(H592/I592,"")</f>
        <v>1.5132876689610881E-2</v>
      </c>
    </row>
    <row r="593" spans="1:11">
      <c r="A593" t="s">
        <v>17</v>
      </c>
      <c r="B593" t="s">
        <v>68</v>
      </c>
      <c r="C593" t="s">
        <v>17</v>
      </c>
      <c r="D593" t="s">
        <v>21</v>
      </c>
      <c r="E593" t="s">
        <v>15</v>
      </c>
      <c r="F593" t="s">
        <v>16</v>
      </c>
      <c r="G593" s="6">
        <v>2024</v>
      </c>
      <c r="H593" s="2">
        <v>12463</v>
      </c>
      <c r="I593" s="2">
        <v>823156.05782019882</v>
      </c>
      <c r="J593" s="3">
        <f>IFERROR(I593/H593,"")</f>
        <v>66.047986666147708</v>
      </c>
      <c r="K593" s="4">
        <f>IFERROR(H593/I593,"")</f>
        <v>1.5140506932553342E-2</v>
      </c>
    </row>
    <row r="594" spans="1:11">
      <c r="A594" t="s">
        <v>19</v>
      </c>
      <c r="B594" t="s">
        <v>53</v>
      </c>
      <c r="C594" t="s">
        <v>17</v>
      </c>
      <c r="D594" t="s">
        <v>14</v>
      </c>
      <c r="E594" t="s">
        <v>15</v>
      </c>
      <c r="F594" t="s">
        <v>16</v>
      </c>
      <c r="G594" s="6">
        <v>2025</v>
      </c>
      <c r="H594" s="2">
        <v>84306</v>
      </c>
      <c r="I594" s="2">
        <v>5568043.2013846682</v>
      </c>
      <c r="J594" s="3">
        <f>IFERROR(I594/H594,"")</f>
        <v>66.045633779145831</v>
      </c>
      <c r="K594" s="4">
        <f>IFERROR(H594/I594,"")</f>
        <v>1.5141046315702915E-2</v>
      </c>
    </row>
    <row r="595" spans="1:11">
      <c r="A595" t="s">
        <v>11</v>
      </c>
      <c r="B595" t="s">
        <v>27</v>
      </c>
      <c r="C595" t="s">
        <v>11</v>
      </c>
      <c r="D595" t="s">
        <v>21</v>
      </c>
      <c r="E595" t="s">
        <v>15</v>
      </c>
      <c r="F595" t="s">
        <v>16</v>
      </c>
      <c r="G595" s="6">
        <v>2025</v>
      </c>
      <c r="H595" s="2">
        <v>115576</v>
      </c>
      <c r="I595" s="2">
        <v>7630921.3248284049</v>
      </c>
      <c r="J595" s="3">
        <f>IFERROR(I595/H595,"")</f>
        <v>66.025137786637401</v>
      </c>
      <c r="K595" s="4">
        <f>IFERROR(H595/I595,"")</f>
        <v>1.5145746506906744E-2</v>
      </c>
    </row>
    <row r="596" spans="1:11">
      <c r="A596" t="s">
        <v>19</v>
      </c>
      <c r="B596" t="s">
        <v>56</v>
      </c>
      <c r="C596" t="s">
        <v>40</v>
      </c>
      <c r="D596" t="s">
        <v>21</v>
      </c>
      <c r="E596" t="s">
        <v>15</v>
      </c>
      <c r="F596" t="s">
        <v>16</v>
      </c>
      <c r="G596" s="6">
        <v>2025</v>
      </c>
      <c r="H596" s="2">
        <v>84224</v>
      </c>
      <c r="I596" s="2">
        <v>5557201.546356177</v>
      </c>
      <c r="J596" s="3">
        <f>IFERROR(I596/H596,"")</f>
        <v>65.981211369160533</v>
      </c>
      <c r="K596" s="4">
        <f>IFERROR(H596/I596,"")</f>
        <v>1.5155829655885912E-2</v>
      </c>
    </row>
    <row r="597" spans="1:11">
      <c r="A597" t="s">
        <v>19</v>
      </c>
      <c r="B597" t="s">
        <v>29</v>
      </c>
      <c r="C597" t="s">
        <v>30</v>
      </c>
      <c r="D597" t="s">
        <v>21</v>
      </c>
      <c r="E597" t="s">
        <v>15</v>
      </c>
      <c r="F597" t="s">
        <v>16</v>
      </c>
      <c r="G597" s="6" t="s">
        <v>82</v>
      </c>
      <c r="H597" s="2">
        <v>10250</v>
      </c>
      <c r="I597" s="2">
        <v>675451.23489255994</v>
      </c>
      <c r="J597" s="3">
        <f>IFERROR(I597/H597,"")</f>
        <v>65.897681452932673</v>
      </c>
      <c r="K597" s="4">
        <f>IFERROR(H597/I597,"")</f>
        <v>1.517504072907707E-2</v>
      </c>
    </row>
    <row r="598" spans="1:11">
      <c r="A598" t="s">
        <v>17</v>
      </c>
      <c r="B598" t="s">
        <v>35</v>
      </c>
      <c r="C598" t="s">
        <v>36</v>
      </c>
      <c r="D598" t="s">
        <v>21</v>
      </c>
      <c r="E598" t="s">
        <v>15</v>
      </c>
      <c r="F598" t="s">
        <v>16</v>
      </c>
      <c r="G598" s="6">
        <v>2024</v>
      </c>
      <c r="H598" s="2">
        <v>99554</v>
      </c>
      <c r="I598" s="2">
        <v>6524095.6947844364</v>
      </c>
      <c r="J598" s="3">
        <f>IFERROR(I598/H598,"")</f>
        <v>65.533235176732589</v>
      </c>
      <c r="K598" s="4">
        <f>IFERROR(H598/I598,"")</f>
        <v>1.5259432825239909E-2</v>
      </c>
    </row>
    <row r="599" spans="1:11">
      <c r="A599" t="s">
        <v>17</v>
      </c>
      <c r="B599" t="s">
        <v>27</v>
      </c>
      <c r="C599" t="s">
        <v>11</v>
      </c>
      <c r="D599" t="s">
        <v>21</v>
      </c>
      <c r="E599" t="s">
        <v>15</v>
      </c>
      <c r="F599" t="s">
        <v>16</v>
      </c>
      <c r="G599" s="6" t="s">
        <v>82</v>
      </c>
      <c r="H599" s="2">
        <v>17689</v>
      </c>
      <c r="I599" s="2">
        <v>1157947.0802007508</v>
      </c>
      <c r="J599" s="3">
        <f>IFERROR(I599/H599,"")</f>
        <v>65.461421233577411</v>
      </c>
      <c r="K599" s="4">
        <f>IFERROR(H599/I599,"")</f>
        <v>1.5276173067367893E-2</v>
      </c>
    </row>
    <row r="600" spans="1:11">
      <c r="A600" t="s">
        <v>19</v>
      </c>
      <c r="B600" t="s">
        <v>55</v>
      </c>
      <c r="C600" t="s">
        <v>43</v>
      </c>
      <c r="D600" t="s">
        <v>21</v>
      </c>
      <c r="E600" t="s">
        <v>15</v>
      </c>
      <c r="F600" t="s">
        <v>16</v>
      </c>
      <c r="G600" s="6">
        <v>2025</v>
      </c>
      <c r="H600" s="2">
        <v>42995</v>
      </c>
      <c r="I600" s="2">
        <v>2801412.9386653798</v>
      </c>
      <c r="J600" s="3">
        <f>IFERROR(I600/H600,"")</f>
        <v>65.156714470644957</v>
      </c>
      <c r="K600" s="4">
        <f>IFERROR(H600/I600,"")</f>
        <v>1.5347612416070026E-2</v>
      </c>
    </row>
    <row r="601" spans="1:11">
      <c r="A601" t="s">
        <v>13</v>
      </c>
      <c r="B601" t="s">
        <v>22</v>
      </c>
      <c r="C601" t="s">
        <v>17</v>
      </c>
      <c r="D601" t="s">
        <v>14</v>
      </c>
      <c r="E601" t="s">
        <v>15</v>
      </c>
      <c r="F601" t="s">
        <v>16</v>
      </c>
      <c r="G601" s="6" t="s">
        <v>82</v>
      </c>
      <c r="H601" s="2">
        <v>29097</v>
      </c>
      <c r="I601" s="2">
        <v>1893105.1552210669</v>
      </c>
      <c r="J601" s="3">
        <f>IFERROR(I601/H601,"")</f>
        <v>65.061867382241019</v>
      </c>
      <c r="K601" s="4">
        <f>IFERROR(H601/I601,"")</f>
        <v>1.5369986141420763E-2</v>
      </c>
    </row>
    <row r="602" spans="1:11">
      <c r="A602" t="s">
        <v>11</v>
      </c>
      <c r="B602" t="s">
        <v>70</v>
      </c>
      <c r="C602" t="s">
        <v>40</v>
      </c>
      <c r="D602" t="s">
        <v>21</v>
      </c>
      <c r="E602" t="s">
        <v>15</v>
      </c>
      <c r="F602" t="s">
        <v>16</v>
      </c>
      <c r="G602" s="6">
        <v>2024</v>
      </c>
      <c r="H602" s="2">
        <v>24093</v>
      </c>
      <c r="I602" s="2">
        <v>1556618.0653883091</v>
      </c>
      <c r="J602" s="3">
        <f>IFERROR(I602/H602,"")</f>
        <v>64.608727239792017</v>
      </c>
      <c r="K602" s="4">
        <f>IFERROR(H602/I602,"")</f>
        <v>1.5477785164975479E-2</v>
      </c>
    </row>
    <row r="603" spans="1:11">
      <c r="A603" t="s">
        <v>17</v>
      </c>
      <c r="B603" t="s">
        <v>59</v>
      </c>
      <c r="C603" t="s">
        <v>11</v>
      </c>
      <c r="D603" t="s">
        <v>21</v>
      </c>
      <c r="E603" t="s">
        <v>15</v>
      </c>
      <c r="F603" t="s">
        <v>16</v>
      </c>
      <c r="G603" s="6">
        <v>2025</v>
      </c>
      <c r="H603" s="2">
        <v>57613</v>
      </c>
      <c r="I603" s="2">
        <v>3721278.2298765811</v>
      </c>
      <c r="J603" s="3">
        <f>IFERROR(I603/H603,"")</f>
        <v>64.590947006345459</v>
      </c>
      <c r="K603" s="4">
        <f>IFERROR(H603/I603,"")</f>
        <v>1.5482045802823719E-2</v>
      </c>
    </row>
    <row r="604" spans="1:11">
      <c r="A604" t="s">
        <v>18</v>
      </c>
      <c r="B604" t="s">
        <v>55</v>
      </c>
      <c r="C604" t="s">
        <v>43</v>
      </c>
      <c r="D604" t="s">
        <v>21</v>
      </c>
      <c r="E604" t="s">
        <v>15</v>
      </c>
      <c r="F604" t="s">
        <v>16</v>
      </c>
      <c r="G604" s="6" t="s">
        <v>81</v>
      </c>
      <c r="H604" s="2">
        <v>3450</v>
      </c>
      <c r="I604" s="2">
        <v>221576.1738865053</v>
      </c>
      <c r="J604" s="3">
        <f>IFERROR(I604/H604,"")</f>
        <v>64.224977938117476</v>
      </c>
      <c r="K604" s="4">
        <f>IFERROR(H604/I604,"")</f>
        <v>1.5570266150399107E-2</v>
      </c>
    </row>
    <row r="605" spans="1:11">
      <c r="A605" t="s">
        <v>13</v>
      </c>
      <c r="B605" t="s">
        <v>75</v>
      </c>
      <c r="C605" t="s">
        <v>17</v>
      </c>
      <c r="D605" t="s">
        <v>21</v>
      </c>
      <c r="E605" t="s">
        <v>15</v>
      </c>
      <c r="F605" t="s">
        <v>16</v>
      </c>
      <c r="G605" s="6" t="s">
        <v>81</v>
      </c>
      <c r="H605" s="2">
        <v>41862</v>
      </c>
      <c r="I605" s="2">
        <v>2687404.277477276</v>
      </c>
      <c r="J605" s="3">
        <f>IFERROR(I605/H605,"")</f>
        <v>64.196748303408242</v>
      </c>
      <c r="K605" s="4">
        <f>IFERROR(H605/I605,"")</f>
        <v>1.5577112960204394E-2</v>
      </c>
    </row>
    <row r="606" spans="1:11">
      <c r="A606" t="s">
        <v>13</v>
      </c>
      <c r="B606" t="s">
        <v>75</v>
      </c>
      <c r="C606" t="s">
        <v>17</v>
      </c>
      <c r="D606" t="s">
        <v>21</v>
      </c>
      <c r="E606" t="s">
        <v>15</v>
      </c>
      <c r="F606" t="s">
        <v>16</v>
      </c>
      <c r="G606" s="6" t="s">
        <v>82</v>
      </c>
      <c r="H606" s="2">
        <v>42996</v>
      </c>
      <c r="I606" s="2">
        <v>2759589.1055548377</v>
      </c>
      <c r="J606" s="3">
        <f>IFERROR(I606/H606,"")</f>
        <v>64.182461288371883</v>
      </c>
      <c r="K606" s="4">
        <f>IFERROR(H606/I606,"")</f>
        <v>1.5580580425343904E-2</v>
      </c>
    </row>
    <row r="607" spans="1:11">
      <c r="A607" t="s">
        <v>11</v>
      </c>
      <c r="B607" t="s">
        <v>75</v>
      </c>
      <c r="C607" t="s">
        <v>17</v>
      </c>
      <c r="D607" t="s">
        <v>21</v>
      </c>
      <c r="E607" t="s">
        <v>15</v>
      </c>
      <c r="F607" t="s">
        <v>16</v>
      </c>
      <c r="G607" s="6" t="s">
        <v>81</v>
      </c>
      <c r="H607" s="2">
        <v>36461</v>
      </c>
      <c r="I607" s="2">
        <v>2331584.9729954419</v>
      </c>
      <c r="J607" s="3">
        <f>IFERROR(I607/H607,"")</f>
        <v>63.947367680410352</v>
      </c>
      <c r="K607" s="4">
        <f>IFERROR(H607/I607,"")</f>
        <v>1.5637860263423169E-2</v>
      </c>
    </row>
    <row r="608" spans="1:11">
      <c r="A608" t="s">
        <v>18</v>
      </c>
      <c r="B608" t="s">
        <v>29</v>
      </c>
      <c r="C608" t="s">
        <v>30</v>
      </c>
      <c r="D608" t="s">
        <v>21</v>
      </c>
      <c r="E608" t="s">
        <v>15</v>
      </c>
      <c r="F608" t="s">
        <v>16</v>
      </c>
      <c r="G608" s="6" t="s">
        <v>82</v>
      </c>
      <c r="H608" s="2">
        <v>18737</v>
      </c>
      <c r="I608" s="2">
        <v>1196807.2504564929</v>
      </c>
      <c r="J608" s="3">
        <f>IFERROR(I608/H608,"")</f>
        <v>63.874006001840897</v>
      </c>
      <c r="K608" s="4">
        <f>IFERROR(H608/I608,"")</f>
        <v>1.5655820929270967E-2</v>
      </c>
    </row>
    <row r="609" spans="1:11">
      <c r="A609" t="s">
        <v>11</v>
      </c>
      <c r="B609" t="s">
        <v>27</v>
      </c>
      <c r="C609" t="s">
        <v>11</v>
      </c>
      <c r="D609" t="s">
        <v>21</v>
      </c>
      <c r="E609" t="s">
        <v>15</v>
      </c>
      <c r="F609" t="s">
        <v>16</v>
      </c>
      <c r="G609" s="6">
        <v>2024</v>
      </c>
      <c r="H609" s="2">
        <v>111536</v>
      </c>
      <c r="I609" s="2">
        <v>7105522.1790362038</v>
      </c>
      <c r="J609" s="3">
        <f>IFERROR(I609/H609,"")</f>
        <v>63.706087532601167</v>
      </c>
      <c r="K609" s="4">
        <f>IFERROR(H609/I609,"")</f>
        <v>1.5697087024662385E-2</v>
      </c>
    </row>
    <row r="610" spans="1:11">
      <c r="A610" t="s">
        <v>11</v>
      </c>
      <c r="B610" t="s">
        <v>29</v>
      </c>
      <c r="C610" t="s">
        <v>30</v>
      </c>
      <c r="D610" t="s">
        <v>21</v>
      </c>
      <c r="E610" t="s">
        <v>15</v>
      </c>
      <c r="F610" t="s">
        <v>16</v>
      </c>
      <c r="G610" s="6" t="s">
        <v>81</v>
      </c>
      <c r="H610" s="2">
        <v>48229</v>
      </c>
      <c r="I610" s="2">
        <v>3065584.056248961</v>
      </c>
      <c r="J610" s="3">
        <f>IFERROR(I610/H610,"")</f>
        <v>63.563085617552943</v>
      </c>
      <c r="K610" s="4">
        <f>IFERROR(H610/I610,"")</f>
        <v>1.5732401759360939E-2</v>
      </c>
    </row>
    <row r="611" spans="1:11">
      <c r="A611" t="s">
        <v>19</v>
      </c>
      <c r="B611" t="s">
        <v>29</v>
      </c>
      <c r="C611" t="s">
        <v>30</v>
      </c>
      <c r="D611" t="s">
        <v>21</v>
      </c>
      <c r="E611" t="s">
        <v>15</v>
      </c>
      <c r="F611" t="s">
        <v>16</v>
      </c>
      <c r="G611" s="6">
        <v>2024</v>
      </c>
      <c r="H611" s="2">
        <v>31457</v>
      </c>
      <c r="I611" s="2">
        <v>1984127.9557850689</v>
      </c>
      <c r="J611" s="3">
        <f>IFERROR(I611/H611,"")</f>
        <v>63.074290484949898</v>
      </c>
      <c r="K611" s="4">
        <f>IFERROR(H611/I611,"")</f>
        <v>1.5854320235890867E-2</v>
      </c>
    </row>
    <row r="612" spans="1:11">
      <c r="A612" t="s">
        <v>11</v>
      </c>
      <c r="B612" t="s">
        <v>29</v>
      </c>
      <c r="C612" t="s">
        <v>30</v>
      </c>
      <c r="D612" t="s">
        <v>21</v>
      </c>
      <c r="E612" t="s">
        <v>15</v>
      </c>
      <c r="F612" t="s">
        <v>16</v>
      </c>
      <c r="G612" s="6">
        <v>2025</v>
      </c>
      <c r="H612" s="2">
        <v>139305</v>
      </c>
      <c r="I612" s="2">
        <v>8769111.5670195986</v>
      </c>
      <c r="J612" s="3">
        <f>IFERROR(I612/H612,"")</f>
        <v>62.9490080544101</v>
      </c>
      <c r="K612" s="4">
        <f>IFERROR(H612/I612,"")</f>
        <v>1.5885873835146825E-2</v>
      </c>
    </row>
    <row r="613" spans="1:11">
      <c r="A613" t="s">
        <v>17</v>
      </c>
      <c r="B613" t="s">
        <v>35</v>
      </c>
      <c r="C613" t="s">
        <v>36</v>
      </c>
      <c r="D613" t="s">
        <v>21</v>
      </c>
      <c r="E613" t="s">
        <v>15</v>
      </c>
      <c r="F613" t="s">
        <v>16</v>
      </c>
      <c r="G613" s="6" t="s">
        <v>81</v>
      </c>
      <c r="H613" s="2">
        <v>35352</v>
      </c>
      <c r="I613" s="2">
        <v>2219279.0368610262</v>
      </c>
      <c r="J613" s="3">
        <f>IFERROR(I613/H613,"")</f>
        <v>62.776619055810876</v>
      </c>
      <c r="K613" s="4">
        <f>IFERROR(H613/I613,"")</f>
        <v>1.5929497558811838E-2</v>
      </c>
    </row>
    <row r="614" spans="1:11">
      <c r="A614" t="s">
        <v>19</v>
      </c>
      <c r="B614" t="s">
        <v>23</v>
      </c>
      <c r="C614" t="s">
        <v>17</v>
      </c>
      <c r="D614" t="s">
        <v>14</v>
      </c>
      <c r="E614" t="s">
        <v>15</v>
      </c>
      <c r="F614" t="s">
        <v>16</v>
      </c>
      <c r="G614" s="6" t="s">
        <v>81</v>
      </c>
      <c r="H614" s="2">
        <v>43645</v>
      </c>
      <c r="I614" s="2">
        <v>2734422.1243919618</v>
      </c>
      <c r="J614" s="3">
        <f>IFERROR(I614/H614,"")</f>
        <v>62.651440586366405</v>
      </c>
      <c r="K614" s="4">
        <f>IFERROR(H614/I614,"")</f>
        <v>1.5961324921515217E-2</v>
      </c>
    </row>
    <row r="615" spans="1:11">
      <c r="A615" t="s">
        <v>19</v>
      </c>
      <c r="B615" t="s">
        <v>23</v>
      </c>
      <c r="C615" t="s">
        <v>17</v>
      </c>
      <c r="D615" t="s">
        <v>14</v>
      </c>
      <c r="E615" t="s">
        <v>15</v>
      </c>
      <c r="F615" t="s">
        <v>16</v>
      </c>
      <c r="G615" s="6" t="s">
        <v>82</v>
      </c>
      <c r="H615" s="2">
        <v>42607</v>
      </c>
      <c r="I615" s="2">
        <v>2666489.9190478339</v>
      </c>
      <c r="J615" s="3">
        <f>IFERROR(I615/H615,"")</f>
        <v>62.583376418143352</v>
      </c>
      <c r="K615" s="4">
        <f>IFERROR(H615/I615,"")</f>
        <v>1.5978684072885736E-2</v>
      </c>
    </row>
    <row r="616" spans="1:11">
      <c r="A616" t="s">
        <v>11</v>
      </c>
      <c r="B616" t="s">
        <v>55</v>
      </c>
      <c r="C616" t="s">
        <v>43</v>
      </c>
      <c r="D616" t="s">
        <v>21</v>
      </c>
      <c r="E616" t="s">
        <v>15</v>
      </c>
      <c r="F616" t="s">
        <v>16</v>
      </c>
      <c r="G616" s="6">
        <v>2025</v>
      </c>
      <c r="H616" s="2">
        <v>26302</v>
      </c>
      <c r="I616" s="2">
        <v>1641439.3921767198</v>
      </c>
      <c r="J616" s="3">
        <f>IFERROR(I616/H616,"")</f>
        <v>62.407398379466194</v>
      </c>
      <c r="K616" s="4">
        <f>IFERROR(H616/I616,"")</f>
        <v>1.6023741190419955E-2</v>
      </c>
    </row>
    <row r="617" spans="1:11">
      <c r="A617" t="s">
        <v>19</v>
      </c>
      <c r="B617" t="s">
        <v>22</v>
      </c>
      <c r="C617" t="s">
        <v>17</v>
      </c>
      <c r="D617" t="s">
        <v>14</v>
      </c>
      <c r="E617" t="s">
        <v>15</v>
      </c>
      <c r="F617" t="s">
        <v>16</v>
      </c>
      <c r="G617" s="6">
        <v>2025</v>
      </c>
      <c r="H617" s="2">
        <v>102856</v>
      </c>
      <c r="I617" s="2">
        <v>6357401.6979292324</v>
      </c>
      <c r="J617" s="3">
        <f>IFERROR(I617/H617,"")</f>
        <v>61.808758827187837</v>
      </c>
      <c r="K617" s="4">
        <f>IFERROR(H617/I617,"")</f>
        <v>1.6178936755483427E-2</v>
      </c>
    </row>
    <row r="618" spans="1:11">
      <c r="A618" t="s">
        <v>17</v>
      </c>
      <c r="B618" t="s">
        <v>53</v>
      </c>
      <c r="C618" t="s">
        <v>17</v>
      </c>
      <c r="D618" t="s">
        <v>14</v>
      </c>
      <c r="E618" t="s">
        <v>15</v>
      </c>
      <c r="F618" t="s">
        <v>16</v>
      </c>
      <c r="G618" s="6" t="s">
        <v>82</v>
      </c>
      <c r="H618" s="2">
        <v>82386</v>
      </c>
      <c r="I618" s="2">
        <v>5081051.6689455602</v>
      </c>
      <c r="J618" s="3">
        <f>IFERROR(I618/H618,"")</f>
        <v>61.673726955375429</v>
      </c>
      <c r="K618" s="4">
        <f>IFERROR(H618/I618,"")</f>
        <v>1.6214359815218543E-2</v>
      </c>
    </row>
    <row r="619" spans="1:11">
      <c r="A619" t="s">
        <v>18</v>
      </c>
      <c r="B619" t="s">
        <v>59</v>
      </c>
      <c r="C619" t="s">
        <v>11</v>
      </c>
      <c r="D619" t="s">
        <v>21</v>
      </c>
      <c r="E619" t="s">
        <v>15</v>
      </c>
      <c r="F619" t="s">
        <v>16</v>
      </c>
      <c r="G619" s="6">
        <v>2024</v>
      </c>
      <c r="H619" s="2">
        <v>51767</v>
      </c>
      <c r="I619" s="2">
        <v>3183860.881665783</v>
      </c>
      <c r="J619" s="3">
        <f>IFERROR(I619/H619,"")</f>
        <v>61.503677664647036</v>
      </c>
      <c r="K619" s="4">
        <f>IFERROR(H619/I619,"")</f>
        <v>1.6259190311391909E-2</v>
      </c>
    </row>
    <row r="620" spans="1:11">
      <c r="A620" t="s">
        <v>17</v>
      </c>
      <c r="B620" t="s">
        <v>53</v>
      </c>
      <c r="C620" t="s">
        <v>17</v>
      </c>
      <c r="D620" t="s">
        <v>14</v>
      </c>
      <c r="E620" t="s">
        <v>15</v>
      </c>
      <c r="F620" t="s">
        <v>16</v>
      </c>
      <c r="G620" s="6">
        <v>2025</v>
      </c>
      <c r="H620" s="2">
        <v>260415</v>
      </c>
      <c r="I620" s="2">
        <v>15952616.749640809</v>
      </c>
      <c r="J620" s="3">
        <f>IFERROR(I620/H620,"")</f>
        <v>61.258440372639093</v>
      </c>
      <c r="K620" s="4">
        <f>IFERROR(H620/I620,"")</f>
        <v>1.6324281093624562E-2</v>
      </c>
    </row>
    <row r="621" spans="1:11">
      <c r="A621" t="s">
        <v>18</v>
      </c>
      <c r="B621" t="s">
        <v>66</v>
      </c>
      <c r="C621" t="s">
        <v>67</v>
      </c>
      <c r="D621" t="s">
        <v>21</v>
      </c>
      <c r="E621" t="s">
        <v>15</v>
      </c>
      <c r="F621" t="s">
        <v>16</v>
      </c>
      <c r="G621" s="6" t="s">
        <v>82</v>
      </c>
      <c r="H621" s="2">
        <v>15512</v>
      </c>
      <c r="I621" s="2">
        <f>1348000*70%</f>
        <v>943599.99999999988</v>
      </c>
      <c r="J621" s="3">
        <f>IFERROR(I621/H621,"")</f>
        <v>60.830324909747283</v>
      </c>
      <c r="K621" s="4">
        <f>IFERROR(H621/I621,"")</f>
        <v>1.6439169139465876E-2</v>
      </c>
    </row>
    <row r="622" spans="1:11">
      <c r="A622" t="s">
        <v>11</v>
      </c>
      <c r="B622" t="s">
        <v>27</v>
      </c>
      <c r="C622" t="s">
        <v>11</v>
      </c>
      <c r="D622" t="s">
        <v>21</v>
      </c>
      <c r="E622" t="s">
        <v>15</v>
      </c>
      <c r="F622" t="s">
        <v>16</v>
      </c>
      <c r="G622" s="6" t="s">
        <v>82</v>
      </c>
      <c r="H622" s="2">
        <v>44957</v>
      </c>
      <c r="I622" s="2">
        <v>2728474.270623751</v>
      </c>
      <c r="J622" s="3">
        <f>IFERROR(I622/H622,"")</f>
        <v>60.690754957487179</v>
      </c>
      <c r="K622" s="4">
        <f>IFERROR(H622/I622,"")</f>
        <v>1.6476974140468063E-2</v>
      </c>
    </row>
    <row r="623" spans="1:11">
      <c r="A623" t="s">
        <v>19</v>
      </c>
      <c r="B623" t="s">
        <v>23</v>
      </c>
      <c r="C623" t="s">
        <v>17</v>
      </c>
      <c r="D623" t="s">
        <v>14</v>
      </c>
      <c r="E623" t="s">
        <v>15</v>
      </c>
      <c r="F623" t="s">
        <v>16</v>
      </c>
      <c r="G623" s="6">
        <v>2024</v>
      </c>
      <c r="H623" s="2">
        <v>125265</v>
      </c>
      <c r="I623" s="2">
        <v>7530298.303851068</v>
      </c>
      <c r="J623" s="3">
        <f>IFERROR(I623/H623,"")</f>
        <v>60.114942752173938</v>
      </c>
      <c r="K623" s="4">
        <f>IFERROR(H623/I623,"")</f>
        <v>1.6634799173352571E-2</v>
      </c>
    </row>
    <row r="624" spans="1:11">
      <c r="A624" t="s">
        <v>11</v>
      </c>
      <c r="B624" t="s">
        <v>58</v>
      </c>
      <c r="C624" t="s">
        <v>43</v>
      </c>
      <c r="D624" t="s">
        <v>21</v>
      </c>
      <c r="E624" t="s">
        <v>15</v>
      </c>
      <c r="F624" t="s">
        <v>16</v>
      </c>
      <c r="G624" s="6">
        <v>2025</v>
      </c>
      <c r="H624" s="2">
        <v>32290</v>
      </c>
      <c r="I624" s="2">
        <v>1938282.0070975861</v>
      </c>
      <c r="J624" s="3">
        <f>IFERROR(I624/H624,"")</f>
        <v>60.02731517799895</v>
      </c>
      <c r="K624" s="4">
        <f>IFERROR(H624/I624,"")</f>
        <v>1.6659082569905063E-2</v>
      </c>
    </row>
    <row r="625" spans="1:11">
      <c r="A625" t="s">
        <v>17</v>
      </c>
      <c r="B625" t="s">
        <v>35</v>
      </c>
      <c r="C625" t="s">
        <v>36</v>
      </c>
      <c r="D625" t="s">
        <v>21</v>
      </c>
      <c r="E625" t="s">
        <v>15</v>
      </c>
      <c r="F625" t="s">
        <v>16</v>
      </c>
      <c r="G625" s="6">
        <v>2025</v>
      </c>
      <c r="H625" s="2">
        <v>108299</v>
      </c>
      <c r="I625" s="2">
        <v>6493509.7198058311</v>
      </c>
      <c r="J625" s="3">
        <f>IFERROR(I625/H625,"")</f>
        <v>59.959092141255518</v>
      </c>
      <c r="K625" s="4">
        <f>IFERROR(H625/I625,"")</f>
        <v>1.6678037713515326E-2</v>
      </c>
    </row>
    <row r="626" spans="1:11">
      <c r="A626" t="s">
        <v>13</v>
      </c>
      <c r="B626" t="s">
        <v>12</v>
      </c>
      <c r="C626" t="s">
        <v>13</v>
      </c>
      <c r="D626" t="s">
        <v>14</v>
      </c>
      <c r="E626" t="s">
        <v>15</v>
      </c>
      <c r="F626" t="s">
        <v>16</v>
      </c>
      <c r="G626" s="6" t="s">
        <v>81</v>
      </c>
      <c r="H626" s="2">
        <v>11767</v>
      </c>
      <c r="I626" s="2">
        <v>699996.41930424806</v>
      </c>
      <c r="J626" s="3">
        <f>IFERROR(I626/H626,"")</f>
        <v>59.488095462245944</v>
      </c>
      <c r="K626" s="4">
        <f>IFERROR(H626/I626,"")</f>
        <v>1.6810085988290698E-2</v>
      </c>
    </row>
    <row r="627" spans="1:11">
      <c r="A627" t="s">
        <v>19</v>
      </c>
      <c r="B627" t="s">
        <v>74</v>
      </c>
      <c r="C627" t="s">
        <v>61</v>
      </c>
      <c r="D627" t="s">
        <v>14</v>
      </c>
      <c r="E627" t="s">
        <v>15</v>
      </c>
      <c r="F627" t="s">
        <v>16</v>
      </c>
      <c r="G627" s="6">
        <v>2025</v>
      </c>
      <c r="H627" s="2">
        <v>62469</v>
      </c>
      <c r="I627" s="2">
        <v>3698599.4173269938</v>
      </c>
      <c r="J627" s="3">
        <f>IFERROR(I627/H627,"")</f>
        <v>59.206957328066622</v>
      </c>
      <c r="K627" s="4">
        <f>IFERROR(H627/I627,"")</f>
        <v>1.6889906948924688E-2</v>
      </c>
    </row>
    <row r="628" spans="1:11">
      <c r="A628" t="s">
        <v>19</v>
      </c>
      <c r="B628" t="s">
        <v>53</v>
      </c>
      <c r="C628" t="s">
        <v>17</v>
      </c>
      <c r="D628" t="s">
        <v>14</v>
      </c>
      <c r="E628" t="s">
        <v>15</v>
      </c>
      <c r="F628" t="s">
        <v>16</v>
      </c>
      <c r="G628" s="6">
        <v>2024</v>
      </c>
      <c r="H628" s="2">
        <v>102757</v>
      </c>
      <c r="I628" s="2">
        <v>6022627.6628046501</v>
      </c>
      <c r="J628" s="3">
        <f>IFERROR(I628/H628,"")</f>
        <v>58.610388224691746</v>
      </c>
      <c r="K628" s="4">
        <f>IFERROR(H628/I628,"")</f>
        <v>1.7061821808215114E-2</v>
      </c>
    </row>
    <row r="629" spans="1:11">
      <c r="A629" t="s">
        <v>19</v>
      </c>
      <c r="B629" t="s">
        <v>24</v>
      </c>
      <c r="C629" t="s">
        <v>25</v>
      </c>
      <c r="D629" t="s">
        <v>14</v>
      </c>
      <c r="E629" t="s">
        <v>15</v>
      </c>
      <c r="F629" t="s">
        <v>26</v>
      </c>
      <c r="G629" s="6" t="s">
        <v>81</v>
      </c>
      <c r="H629" s="2">
        <v>11782</v>
      </c>
      <c r="I629" s="2">
        <v>690532.85181752499</v>
      </c>
      <c r="J629" s="3">
        <f>IFERROR(I629/H629,"")</f>
        <v>58.609136973139108</v>
      </c>
      <c r="K629" s="4">
        <f>IFERROR(H629/I629,"")</f>
        <v>1.7062186062529901E-2</v>
      </c>
    </row>
    <row r="630" spans="1:11">
      <c r="A630" t="s">
        <v>19</v>
      </c>
      <c r="B630" t="s">
        <v>22</v>
      </c>
      <c r="C630" t="s">
        <v>17</v>
      </c>
      <c r="D630" t="s">
        <v>14</v>
      </c>
      <c r="E630" t="s">
        <v>15</v>
      </c>
      <c r="F630" t="s">
        <v>16</v>
      </c>
      <c r="G630" s="6" t="s">
        <v>81</v>
      </c>
      <c r="H630" s="2">
        <v>35823</v>
      </c>
      <c r="I630" s="2">
        <v>2094347.34298616</v>
      </c>
      <c r="J630" s="3">
        <f>IFERROR(I630/H630,"")</f>
        <v>58.463761912351281</v>
      </c>
      <c r="K630" s="4">
        <f>IFERROR(H630/I630,"")</f>
        <v>1.7104612623101423E-2</v>
      </c>
    </row>
    <row r="631" spans="1:11">
      <c r="A631" t="s">
        <v>19</v>
      </c>
      <c r="B631" t="s">
        <v>22</v>
      </c>
      <c r="C631" t="s">
        <v>17</v>
      </c>
      <c r="D631" t="s">
        <v>14</v>
      </c>
      <c r="E631" t="s">
        <v>15</v>
      </c>
      <c r="F631" t="s">
        <v>16</v>
      </c>
      <c r="G631" s="6" t="s">
        <v>82</v>
      </c>
      <c r="H631" s="2">
        <v>38133</v>
      </c>
      <c r="I631" s="2">
        <v>2222910.9838840761</v>
      </c>
      <c r="J631" s="3">
        <f>IFERROR(I631/H631,"")</f>
        <v>58.293629766451005</v>
      </c>
      <c r="K631" s="4">
        <f>IFERROR(H631/I631,"")</f>
        <v>1.7154533076880338E-2</v>
      </c>
    </row>
    <row r="632" spans="1:11">
      <c r="A632" t="s">
        <v>19</v>
      </c>
      <c r="B632" t="s">
        <v>27</v>
      </c>
      <c r="C632" t="s">
        <v>11</v>
      </c>
      <c r="D632" t="s">
        <v>21</v>
      </c>
      <c r="E632" t="s">
        <v>15</v>
      </c>
      <c r="F632" t="s">
        <v>16</v>
      </c>
      <c r="G632" s="6" t="s">
        <v>82</v>
      </c>
      <c r="H632" s="2">
        <v>12142</v>
      </c>
      <c r="I632" s="2">
        <v>706558.70455298701</v>
      </c>
      <c r="J632" s="3">
        <f>IFERROR(I632/H632,"")</f>
        <v>58.191295054602783</v>
      </c>
      <c r="K632" s="4">
        <f>IFERROR(H632/I632,"")</f>
        <v>1.7184700891459237E-2</v>
      </c>
    </row>
    <row r="633" spans="1:11">
      <c r="A633" t="s">
        <v>11</v>
      </c>
      <c r="B633" t="s">
        <v>55</v>
      </c>
      <c r="C633" t="s">
        <v>43</v>
      </c>
      <c r="D633" t="s">
        <v>21</v>
      </c>
      <c r="E633" t="s">
        <v>15</v>
      </c>
      <c r="F633" t="s">
        <v>16</v>
      </c>
      <c r="G633" s="6" t="s">
        <v>82</v>
      </c>
      <c r="H633" s="2">
        <v>7748</v>
      </c>
      <c r="I633" s="2">
        <v>450520.79954371217</v>
      </c>
      <c r="J633" s="3">
        <f>IFERROR(I633/H633,"")</f>
        <v>58.14672167575015</v>
      </c>
      <c r="K633" s="4">
        <f>IFERROR(H633/I633,"")</f>
        <v>1.7197874122231827E-2</v>
      </c>
    </row>
    <row r="634" spans="1:11">
      <c r="A634" t="s">
        <v>13</v>
      </c>
      <c r="B634" t="s">
        <v>58</v>
      </c>
      <c r="C634" t="s">
        <v>43</v>
      </c>
      <c r="D634" t="s">
        <v>21</v>
      </c>
      <c r="E634" t="s">
        <v>15</v>
      </c>
      <c r="F634" t="s">
        <v>16</v>
      </c>
      <c r="G634" s="6">
        <v>2025</v>
      </c>
      <c r="H634" s="2">
        <v>37553</v>
      </c>
      <c r="I634" s="2">
        <v>2168112.7293924121</v>
      </c>
      <c r="J634" s="3">
        <f>IFERROR(I634/H634,"")</f>
        <v>57.734741016494347</v>
      </c>
      <c r="K634" s="4">
        <f>IFERROR(H634/I634,"")</f>
        <v>1.7320593846853978E-2</v>
      </c>
    </row>
    <row r="635" spans="1:11">
      <c r="A635" t="s">
        <v>11</v>
      </c>
      <c r="B635" t="s">
        <v>58</v>
      </c>
      <c r="C635" t="s">
        <v>43</v>
      </c>
      <c r="D635" t="s">
        <v>21</v>
      </c>
      <c r="E635" t="s">
        <v>15</v>
      </c>
      <c r="F635" t="s">
        <v>16</v>
      </c>
      <c r="G635" s="6" t="s">
        <v>81</v>
      </c>
      <c r="H635" s="2">
        <v>11029</v>
      </c>
      <c r="I635" s="2">
        <v>633058.59268326499</v>
      </c>
      <c r="J635" s="3">
        <f>IFERROR(I635/H635,"")</f>
        <v>57.39945531628117</v>
      </c>
      <c r="K635" s="4">
        <f>IFERROR(H635/I635,"")</f>
        <v>1.742176810720281E-2</v>
      </c>
    </row>
    <row r="636" spans="1:11">
      <c r="A636" t="s">
        <v>19</v>
      </c>
      <c r="B636" t="s">
        <v>53</v>
      </c>
      <c r="C636" t="s">
        <v>17</v>
      </c>
      <c r="D636" t="s">
        <v>14</v>
      </c>
      <c r="E636" t="s">
        <v>15</v>
      </c>
      <c r="F636" t="s">
        <v>16</v>
      </c>
      <c r="G636" s="6" t="s">
        <v>81</v>
      </c>
      <c r="H636" s="2">
        <v>32786</v>
      </c>
      <c r="I636" s="2">
        <v>1880082.5903741</v>
      </c>
      <c r="J636" s="3">
        <f>IFERROR(I636/H636,"")</f>
        <v>57.344067296227045</v>
      </c>
      <c r="K636" s="4">
        <f>IFERROR(H636/I636,"")</f>
        <v>1.7438595606311221E-2</v>
      </c>
    </row>
    <row r="637" spans="1:11">
      <c r="A637" t="s">
        <v>18</v>
      </c>
      <c r="B637" t="s">
        <v>59</v>
      </c>
      <c r="C637" t="s">
        <v>11</v>
      </c>
      <c r="D637" t="s">
        <v>21</v>
      </c>
      <c r="E637" t="s">
        <v>15</v>
      </c>
      <c r="F637" t="s">
        <v>16</v>
      </c>
      <c r="G637" s="6">
        <v>2025</v>
      </c>
      <c r="H637" s="2">
        <v>57142</v>
      </c>
      <c r="I637" s="2">
        <v>3273598.1464097537</v>
      </c>
      <c r="J637" s="3">
        <f>IFERROR(I637/H637,"")</f>
        <v>57.288826894574107</v>
      </c>
      <c r="K637" s="4">
        <f>IFERROR(H637/I637,"")</f>
        <v>1.7455410665682722E-2</v>
      </c>
    </row>
    <row r="638" spans="1:11">
      <c r="A638" t="s">
        <v>17</v>
      </c>
      <c r="B638" t="s">
        <v>74</v>
      </c>
      <c r="C638" t="s">
        <v>61</v>
      </c>
      <c r="D638" t="s">
        <v>14</v>
      </c>
      <c r="E638" t="s">
        <v>15</v>
      </c>
      <c r="F638" t="s">
        <v>16</v>
      </c>
      <c r="G638" s="6" t="s">
        <v>81</v>
      </c>
      <c r="H638" s="2">
        <v>21429</v>
      </c>
      <c r="I638" s="2">
        <v>1227065.737134119</v>
      </c>
      <c r="J638" s="3">
        <f>IFERROR(I638/H638,"")</f>
        <v>57.261922494475662</v>
      </c>
      <c r="K638" s="4">
        <f>IFERROR(H638/I638,"")</f>
        <v>1.7463612055576283E-2</v>
      </c>
    </row>
    <row r="639" spans="1:11">
      <c r="A639" t="s">
        <v>19</v>
      </c>
      <c r="B639" t="s">
        <v>42</v>
      </c>
      <c r="C639" t="s">
        <v>43</v>
      </c>
      <c r="D639" t="s">
        <v>14</v>
      </c>
      <c r="E639" t="s">
        <v>15</v>
      </c>
      <c r="F639" t="s">
        <v>16</v>
      </c>
      <c r="G639" s="6" t="s">
        <v>81</v>
      </c>
      <c r="H639" s="2">
        <v>1725</v>
      </c>
      <c r="I639" s="2">
        <v>97189.059683106301</v>
      </c>
      <c r="J639" s="3">
        <f>IFERROR(I639/H639,"")</f>
        <v>56.341483874264526</v>
      </c>
      <c r="K639" s="4">
        <f>IFERROR(H639/I639,"")</f>
        <v>1.7748911303643828E-2</v>
      </c>
    </row>
    <row r="640" spans="1:11">
      <c r="A640" t="s">
        <v>19</v>
      </c>
      <c r="B640" t="s">
        <v>28</v>
      </c>
      <c r="C640" t="s">
        <v>18</v>
      </c>
      <c r="D640" t="s">
        <v>21</v>
      </c>
      <c r="E640" t="s">
        <v>15</v>
      </c>
      <c r="F640" t="s">
        <v>16</v>
      </c>
      <c r="G640" s="6">
        <v>2025</v>
      </c>
      <c r="H640" s="2">
        <v>32394</v>
      </c>
      <c r="I640" s="2">
        <v>1824950.4870663669</v>
      </c>
      <c r="J640" s="3">
        <f>IFERROR(I640/H640,"")</f>
        <v>56.336064921478268</v>
      </c>
      <c r="K640" s="4">
        <f>IFERROR(H640/I640,"")</f>
        <v>1.7750618567232365E-2</v>
      </c>
    </row>
    <row r="641" spans="1:11">
      <c r="A641" t="s">
        <v>17</v>
      </c>
      <c r="B641" t="s">
        <v>53</v>
      </c>
      <c r="C641" t="s">
        <v>17</v>
      </c>
      <c r="D641" t="s">
        <v>14</v>
      </c>
      <c r="E641" t="s">
        <v>15</v>
      </c>
      <c r="F641" t="s">
        <v>16</v>
      </c>
      <c r="G641" s="6" t="s">
        <v>81</v>
      </c>
      <c r="H641" s="2">
        <v>82772</v>
      </c>
      <c r="I641" s="2">
        <v>4656508.2992381798</v>
      </c>
      <c r="J641" s="3">
        <f>IFERROR(I641/H641,"")</f>
        <v>56.257047059853328</v>
      </c>
      <c r="K641" s="4">
        <f>IFERROR(H641/I641,"")</f>
        <v>1.7775550837854572E-2</v>
      </c>
    </row>
    <row r="642" spans="1:11">
      <c r="A642" t="s">
        <v>19</v>
      </c>
      <c r="B642" t="s">
        <v>48</v>
      </c>
      <c r="C642" t="s">
        <v>43</v>
      </c>
      <c r="D642" t="s">
        <v>14</v>
      </c>
      <c r="E642" t="s">
        <v>15</v>
      </c>
      <c r="F642" t="s">
        <v>16</v>
      </c>
      <c r="G642" s="6">
        <v>2024</v>
      </c>
      <c r="H642" s="2">
        <v>61290</v>
      </c>
      <c r="I642" s="2">
        <v>3438303.5367280548</v>
      </c>
      <c r="J642" s="3">
        <f>IFERROR(I642/H642,"")</f>
        <v>56.098931909415157</v>
      </c>
      <c r="K642" s="4">
        <f>IFERROR(H642/I642,"")</f>
        <v>1.782565132638771E-2</v>
      </c>
    </row>
    <row r="643" spans="1:11">
      <c r="A643" t="s">
        <v>17</v>
      </c>
      <c r="B643" t="s">
        <v>74</v>
      </c>
      <c r="C643" t="s">
        <v>61</v>
      </c>
      <c r="D643" t="s">
        <v>14</v>
      </c>
      <c r="E643" t="s">
        <v>15</v>
      </c>
      <c r="F643" t="s">
        <v>16</v>
      </c>
      <c r="G643" s="6">
        <v>2024</v>
      </c>
      <c r="H643" s="2">
        <v>62326</v>
      </c>
      <c r="I643" s="2">
        <v>3494652.2998625687</v>
      </c>
      <c r="J643" s="3">
        <f>IFERROR(I643/H643,"")</f>
        <v>56.070537173291541</v>
      </c>
      <c r="K643" s="4">
        <f>IFERROR(H643/I643,"")</f>
        <v>1.7834678432086373E-2</v>
      </c>
    </row>
    <row r="644" spans="1:11">
      <c r="A644" t="s">
        <v>19</v>
      </c>
      <c r="B644" t="s">
        <v>78</v>
      </c>
      <c r="C644" t="s">
        <v>25</v>
      </c>
      <c r="D644" t="s">
        <v>21</v>
      </c>
      <c r="E644" t="s">
        <v>15</v>
      </c>
      <c r="F644" t="s">
        <v>26</v>
      </c>
      <c r="G644" s="6">
        <v>2025</v>
      </c>
      <c r="H644" s="2">
        <v>24418</v>
      </c>
      <c r="I644" s="2">
        <v>1365000</v>
      </c>
      <c r="J644" s="3">
        <f>IFERROR(I644/H644,"")</f>
        <v>55.901384224752235</v>
      </c>
      <c r="K644" s="4">
        <f>IFERROR(H644/I644,"")</f>
        <v>1.7888644688644689E-2</v>
      </c>
    </row>
    <row r="645" spans="1:11">
      <c r="A645" t="s">
        <v>17</v>
      </c>
      <c r="B645" t="s">
        <v>74</v>
      </c>
      <c r="C645" t="s">
        <v>61</v>
      </c>
      <c r="D645" t="s">
        <v>14</v>
      </c>
      <c r="E645" t="s">
        <v>15</v>
      </c>
      <c r="F645" t="s">
        <v>16</v>
      </c>
      <c r="G645" s="6">
        <v>2025</v>
      </c>
      <c r="H645" s="2">
        <v>59380</v>
      </c>
      <c r="I645" s="2">
        <v>3314219.626738939</v>
      </c>
      <c r="J645" s="3">
        <f>IFERROR(I645/H645,"")</f>
        <v>55.81373571470089</v>
      </c>
      <c r="K645" s="4">
        <f>IFERROR(H645/I645,"")</f>
        <v>1.7916736573800201E-2</v>
      </c>
    </row>
    <row r="646" spans="1:11">
      <c r="A646" t="s">
        <v>17</v>
      </c>
      <c r="B646" t="s">
        <v>55</v>
      </c>
      <c r="C646" t="s">
        <v>43</v>
      </c>
      <c r="D646" t="s">
        <v>21</v>
      </c>
      <c r="E646" t="s">
        <v>15</v>
      </c>
      <c r="F646" t="s">
        <v>16</v>
      </c>
      <c r="G646" s="6">
        <v>2025</v>
      </c>
      <c r="H646" s="2">
        <v>34647</v>
      </c>
      <c r="I646" s="2">
        <v>1919209.187269503</v>
      </c>
      <c r="J646" s="3">
        <f>IFERROR(I646/H646,"")</f>
        <v>55.393228483548448</v>
      </c>
      <c r="K646" s="4">
        <f>IFERROR(H646/I646,"")</f>
        <v>1.8052748095319912E-2</v>
      </c>
    </row>
    <row r="647" spans="1:11">
      <c r="A647" t="s">
        <v>19</v>
      </c>
      <c r="B647" t="s">
        <v>70</v>
      </c>
      <c r="C647" t="s">
        <v>40</v>
      </c>
      <c r="D647" t="s">
        <v>21</v>
      </c>
      <c r="E647" t="s">
        <v>15</v>
      </c>
      <c r="F647" t="s">
        <v>16</v>
      </c>
      <c r="G647" s="6" t="s">
        <v>82</v>
      </c>
      <c r="H647" s="2">
        <v>9909</v>
      </c>
      <c r="I647" s="2">
        <v>548713.21038305399</v>
      </c>
      <c r="J647" s="3">
        <f>IFERROR(I647/H647,"")</f>
        <v>55.37523568302089</v>
      </c>
      <c r="K647" s="4">
        <f>IFERROR(H647/I647,"")</f>
        <v>1.8058613885170681E-2</v>
      </c>
    </row>
    <row r="648" spans="1:11">
      <c r="A648" t="s">
        <v>19</v>
      </c>
      <c r="B648" t="s">
        <v>74</v>
      </c>
      <c r="C648" t="s">
        <v>61</v>
      </c>
      <c r="D648" t="s">
        <v>14</v>
      </c>
      <c r="E648" t="s">
        <v>15</v>
      </c>
      <c r="F648" t="s">
        <v>16</v>
      </c>
      <c r="G648" s="6" t="s">
        <v>82</v>
      </c>
      <c r="H648" s="2">
        <v>24117</v>
      </c>
      <c r="I648" s="2">
        <v>1334465.8677011011</v>
      </c>
      <c r="J648" s="3">
        <f>IFERROR(I648/H648,"")</f>
        <v>55.332996131405281</v>
      </c>
      <c r="K648" s="4">
        <f>IFERROR(H648/I648,"")</f>
        <v>1.807239929002202E-2</v>
      </c>
    </row>
    <row r="649" spans="1:11">
      <c r="A649" t="s">
        <v>19</v>
      </c>
      <c r="B649" t="s">
        <v>35</v>
      </c>
      <c r="C649" t="s">
        <v>36</v>
      </c>
      <c r="D649" t="s">
        <v>21</v>
      </c>
      <c r="E649" t="s">
        <v>15</v>
      </c>
      <c r="F649" t="s">
        <v>16</v>
      </c>
      <c r="G649" s="6" t="s">
        <v>81</v>
      </c>
      <c r="H649" s="2">
        <v>41709</v>
      </c>
      <c r="I649" s="2">
        <v>2290471.1282923752</v>
      </c>
      <c r="J649" s="3">
        <f>IFERROR(I649/H649,"")</f>
        <v>54.915512917892428</v>
      </c>
      <c r="K649" s="4">
        <f>IFERROR(H649/I649,"")</f>
        <v>1.8209790765228065E-2</v>
      </c>
    </row>
    <row r="650" spans="1:11">
      <c r="A650" t="s">
        <v>19</v>
      </c>
      <c r="B650" t="s">
        <v>74</v>
      </c>
      <c r="C650" t="s">
        <v>61</v>
      </c>
      <c r="D650" t="s">
        <v>14</v>
      </c>
      <c r="E650" t="s">
        <v>15</v>
      </c>
      <c r="F650" t="s">
        <v>16</v>
      </c>
      <c r="G650" s="6" t="s">
        <v>81</v>
      </c>
      <c r="H650" s="2">
        <v>23198</v>
      </c>
      <c r="I650" s="2">
        <v>1270057.750525305</v>
      </c>
      <c r="J650" s="3">
        <f>IFERROR(I650/H650,"")</f>
        <v>54.748588263009957</v>
      </c>
      <c r="K650" s="4">
        <f>IFERROR(H650/I650,"")</f>
        <v>1.8265311156445554E-2</v>
      </c>
    </row>
    <row r="651" spans="1:11">
      <c r="A651" t="s">
        <v>17</v>
      </c>
      <c r="B651" t="s">
        <v>44</v>
      </c>
      <c r="C651" t="s">
        <v>36</v>
      </c>
      <c r="D651" t="s">
        <v>21</v>
      </c>
      <c r="E651" t="s">
        <v>15</v>
      </c>
      <c r="F651" t="s">
        <v>16</v>
      </c>
      <c r="G651" s="6" t="s">
        <v>81</v>
      </c>
      <c r="H651" s="2">
        <v>4302</v>
      </c>
      <c r="I651" s="2">
        <v>235330.35525881039</v>
      </c>
      <c r="J651" s="3">
        <f>IFERROR(I651/H651,"")</f>
        <v>54.702546550165131</v>
      </c>
      <c r="K651" s="4">
        <f>IFERROR(H651/I651,"")</f>
        <v>1.8280684594508722E-2</v>
      </c>
    </row>
    <row r="652" spans="1:11">
      <c r="A652" t="s">
        <v>11</v>
      </c>
      <c r="B652" t="s">
        <v>75</v>
      </c>
      <c r="C652" t="s">
        <v>17</v>
      </c>
      <c r="D652" t="s">
        <v>21</v>
      </c>
      <c r="E652" t="s">
        <v>15</v>
      </c>
      <c r="F652" t="s">
        <v>16</v>
      </c>
      <c r="G652" s="6">
        <v>2024</v>
      </c>
      <c r="H652" s="2">
        <v>119360</v>
      </c>
      <c r="I652" s="2">
        <v>6479997.7949607596</v>
      </c>
      <c r="J652" s="3">
        <f>IFERROR(I652/H652,"")</f>
        <v>54.28952576207071</v>
      </c>
      <c r="K652" s="4">
        <f>IFERROR(H652/I652,"")</f>
        <v>1.8419759354366076E-2</v>
      </c>
    </row>
    <row r="653" spans="1:11">
      <c r="A653" t="s">
        <v>19</v>
      </c>
      <c r="B653" t="s">
        <v>66</v>
      </c>
      <c r="C653" t="s">
        <v>67</v>
      </c>
      <c r="D653" t="s">
        <v>21</v>
      </c>
      <c r="E653" t="s">
        <v>15</v>
      </c>
      <c r="F653" t="s">
        <v>16</v>
      </c>
      <c r="G653" s="6">
        <v>2025</v>
      </c>
      <c r="H653" s="2">
        <v>78481</v>
      </c>
      <c r="I653" s="2">
        <v>4251826.747761976</v>
      </c>
      <c r="J653" s="3">
        <f>IFERROR(I653/H653,"")</f>
        <v>54.176510846726927</v>
      </c>
      <c r="K653" s="4">
        <f>IFERROR(H653/I653,"")</f>
        <v>1.8458183895030497E-2</v>
      </c>
    </row>
    <row r="654" spans="1:11">
      <c r="A654" t="s">
        <v>19</v>
      </c>
      <c r="B654" t="s">
        <v>28</v>
      </c>
      <c r="C654" t="s">
        <v>18</v>
      </c>
      <c r="D654" t="s">
        <v>21</v>
      </c>
      <c r="E654" t="s">
        <v>15</v>
      </c>
      <c r="F654" t="s">
        <v>16</v>
      </c>
      <c r="G654" s="6" t="s">
        <v>81</v>
      </c>
      <c r="H654" s="2">
        <v>12237</v>
      </c>
      <c r="I654" s="2">
        <v>659874.41860498302</v>
      </c>
      <c r="J654" s="3">
        <f>IFERROR(I654/H654,"")</f>
        <v>53.924525505024356</v>
      </c>
      <c r="K654" s="4">
        <f>IFERROR(H654/I654,"")</f>
        <v>1.8544437630829524E-2</v>
      </c>
    </row>
    <row r="655" spans="1:11">
      <c r="A655" t="s">
        <v>19</v>
      </c>
      <c r="B655" t="s">
        <v>73</v>
      </c>
      <c r="C655" t="s">
        <v>43</v>
      </c>
      <c r="D655" t="s">
        <v>21</v>
      </c>
      <c r="E655" t="s">
        <v>15</v>
      </c>
      <c r="F655" t="s">
        <v>16</v>
      </c>
      <c r="G655" s="6">
        <v>2024</v>
      </c>
      <c r="H655" s="2">
        <v>78895</v>
      </c>
      <c r="I655" s="2">
        <v>4226720.3809276698</v>
      </c>
      <c r="J655" s="3">
        <f>IFERROR(I655/H655,"")</f>
        <v>53.573995575482222</v>
      </c>
      <c r="K655" s="4">
        <f>IFERROR(H655/I655,"")</f>
        <v>1.8665772251223376E-2</v>
      </c>
    </row>
    <row r="656" spans="1:11">
      <c r="A656" t="s">
        <v>19</v>
      </c>
      <c r="B656" t="s">
        <v>48</v>
      </c>
      <c r="C656" t="s">
        <v>43</v>
      </c>
      <c r="D656" t="s">
        <v>14</v>
      </c>
      <c r="E656" t="s">
        <v>15</v>
      </c>
      <c r="F656" t="s">
        <v>16</v>
      </c>
      <c r="G656" s="6">
        <v>2025</v>
      </c>
      <c r="H656" s="2">
        <v>56814</v>
      </c>
      <c r="I656" s="2">
        <v>3037509.755026402</v>
      </c>
      <c r="J656" s="3">
        <f>IFERROR(I656/H656,"")</f>
        <v>53.464106646713873</v>
      </c>
      <c r="K656" s="4">
        <f>IFERROR(H656/I656,"")</f>
        <v>1.8704137461940818E-2</v>
      </c>
    </row>
    <row r="657" spans="1:11">
      <c r="A657" t="s">
        <v>17</v>
      </c>
      <c r="B657" t="s">
        <v>53</v>
      </c>
      <c r="C657" t="s">
        <v>17</v>
      </c>
      <c r="D657" t="s">
        <v>14</v>
      </c>
      <c r="E657" t="s">
        <v>15</v>
      </c>
      <c r="F657" t="s">
        <v>16</v>
      </c>
      <c r="G657" s="6">
        <v>2024</v>
      </c>
      <c r="H657" s="2">
        <v>257888</v>
      </c>
      <c r="I657" s="2">
        <v>13758987.960342631</v>
      </c>
      <c r="J657" s="3">
        <f>IFERROR(I657/H657,"")</f>
        <v>53.352571505237279</v>
      </c>
      <c r="K657" s="4">
        <f>IFERROR(H657/I657,"")</f>
        <v>1.8743239018982179E-2</v>
      </c>
    </row>
    <row r="658" spans="1:11">
      <c r="A658" t="s">
        <v>11</v>
      </c>
      <c r="B658" t="s">
        <v>34</v>
      </c>
      <c r="C658" t="s">
        <v>13</v>
      </c>
      <c r="D658" t="s">
        <v>21</v>
      </c>
      <c r="E658" t="s">
        <v>15</v>
      </c>
      <c r="F658" t="s">
        <v>16</v>
      </c>
      <c r="G658" s="6">
        <v>2024</v>
      </c>
      <c r="H658" s="2">
        <v>32770</v>
      </c>
      <c r="I658" s="2">
        <v>1739392.8124679641</v>
      </c>
      <c r="J658" s="3">
        <f>IFERROR(I658/H658,"")</f>
        <v>53.078816370703819</v>
      </c>
      <c r="K658" s="4">
        <f>IFERROR(H658/I658,"")</f>
        <v>1.8839907676463135E-2</v>
      </c>
    </row>
    <row r="659" spans="1:11">
      <c r="A659" t="s">
        <v>18</v>
      </c>
      <c r="B659" t="s">
        <v>65</v>
      </c>
      <c r="C659" t="s">
        <v>18</v>
      </c>
      <c r="D659" t="s">
        <v>21</v>
      </c>
      <c r="E659" t="s">
        <v>15</v>
      </c>
      <c r="F659" t="s">
        <v>16</v>
      </c>
      <c r="G659" s="6">
        <v>2024</v>
      </c>
      <c r="H659" s="2">
        <v>65300</v>
      </c>
      <c r="I659" s="2">
        <v>3461613.165270674</v>
      </c>
      <c r="J659" s="3">
        <f>IFERROR(I659/H659,"")</f>
        <v>53.010921367085359</v>
      </c>
      <c r="K659" s="4">
        <f>IFERROR(H659/I659,"")</f>
        <v>1.8864037338179582E-2</v>
      </c>
    </row>
    <row r="660" spans="1:11">
      <c r="A660" t="s">
        <v>13</v>
      </c>
      <c r="B660" t="s">
        <v>29</v>
      </c>
      <c r="C660" t="s">
        <v>30</v>
      </c>
      <c r="D660" t="s">
        <v>21</v>
      </c>
      <c r="E660" t="s">
        <v>15</v>
      </c>
      <c r="F660" t="s">
        <v>16</v>
      </c>
      <c r="G660" s="6" t="s">
        <v>81</v>
      </c>
      <c r="H660" s="2">
        <v>38844</v>
      </c>
      <c r="I660" s="2">
        <v>2029739.9447225751</v>
      </c>
      <c r="J660" s="3">
        <f>IFERROR(I660/H660,"")</f>
        <v>52.253628481170196</v>
      </c>
      <c r="K660" s="4">
        <f>IFERROR(H660/I660,"")</f>
        <v>1.913742698959851E-2</v>
      </c>
    </row>
    <row r="661" spans="1:11">
      <c r="A661" t="s">
        <v>17</v>
      </c>
      <c r="B661" t="s">
        <v>55</v>
      </c>
      <c r="C661" t="s">
        <v>43</v>
      </c>
      <c r="D661" t="s">
        <v>21</v>
      </c>
      <c r="E661" t="s">
        <v>15</v>
      </c>
      <c r="F661" t="s">
        <v>16</v>
      </c>
      <c r="G661" s="6" t="s">
        <v>82</v>
      </c>
      <c r="H661" s="2">
        <v>12575</v>
      </c>
      <c r="I661" s="2">
        <v>654308.26176434802</v>
      </c>
      <c r="J661" s="3">
        <f>IFERROR(I661/H661,"")</f>
        <v>52.032466144282147</v>
      </c>
      <c r="K661" s="4">
        <f>IFERROR(H661/I661,"")</f>
        <v>1.9218770012304907E-2</v>
      </c>
    </row>
    <row r="662" spans="1:11">
      <c r="A662" t="s">
        <v>13</v>
      </c>
      <c r="B662" t="s">
        <v>58</v>
      </c>
      <c r="C662" t="s">
        <v>43</v>
      </c>
      <c r="D662" t="s">
        <v>21</v>
      </c>
      <c r="E662" t="s">
        <v>15</v>
      </c>
      <c r="F662" t="s">
        <v>16</v>
      </c>
      <c r="G662" s="6" t="s">
        <v>81</v>
      </c>
      <c r="H662" s="2">
        <v>15317</v>
      </c>
      <c r="I662" s="2">
        <v>796454.45181124494</v>
      </c>
      <c r="J662" s="3">
        <f>IFERROR(I662/H662,"")</f>
        <v>51.998070889289345</v>
      </c>
      <c r="K662" s="4">
        <f>IFERROR(H662/I662,"")</f>
        <v>1.9231482685754437E-2</v>
      </c>
    </row>
    <row r="663" spans="1:11">
      <c r="A663" t="s">
        <v>19</v>
      </c>
      <c r="B663" t="s">
        <v>56</v>
      </c>
      <c r="C663" t="s">
        <v>40</v>
      </c>
      <c r="D663" t="s">
        <v>21</v>
      </c>
      <c r="E663" t="s">
        <v>15</v>
      </c>
      <c r="F663" t="s">
        <v>16</v>
      </c>
      <c r="G663" s="6">
        <v>2024</v>
      </c>
      <c r="H663" s="2">
        <v>100446</v>
      </c>
      <c r="I663" s="2">
        <v>5218728.9172671512</v>
      </c>
      <c r="J663" s="3">
        <f>IFERROR(I663/H663,"")</f>
        <v>51.955567342324741</v>
      </c>
      <c r="K663" s="4">
        <f>IFERROR(H663/I663,"")</f>
        <v>1.9247215479550092E-2</v>
      </c>
    </row>
    <row r="664" spans="1:11">
      <c r="A664" t="s">
        <v>11</v>
      </c>
      <c r="B664" t="s">
        <v>29</v>
      </c>
      <c r="C664" t="s">
        <v>30</v>
      </c>
      <c r="D664" t="s">
        <v>21</v>
      </c>
      <c r="E664" t="s">
        <v>15</v>
      </c>
      <c r="F664" t="s">
        <v>16</v>
      </c>
      <c r="G664" s="6">
        <v>2024</v>
      </c>
      <c r="H664" s="2">
        <v>144979</v>
      </c>
      <c r="I664" s="2">
        <v>7501007.9062134</v>
      </c>
      <c r="J664" s="3">
        <f>IFERROR(I664/H664,"")</f>
        <v>51.738582182339513</v>
      </c>
      <c r="K664" s="4">
        <f>IFERROR(H664/I664,"")</f>
        <v>1.9327935900441833E-2</v>
      </c>
    </row>
    <row r="665" spans="1:11">
      <c r="A665" t="s">
        <v>19</v>
      </c>
      <c r="B665" t="s">
        <v>35</v>
      </c>
      <c r="C665" t="s">
        <v>36</v>
      </c>
      <c r="D665" t="s">
        <v>21</v>
      </c>
      <c r="E665" t="s">
        <v>15</v>
      </c>
      <c r="F665" t="s">
        <v>16</v>
      </c>
      <c r="G665" s="6" t="s">
        <v>82</v>
      </c>
      <c r="H665" s="2">
        <v>41004</v>
      </c>
      <c r="I665" s="2">
        <v>2112854.759178414</v>
      </c>
      <c r="J665" s="3">
        <f>IFERROR(I665/H665,"")</f>
        <v>51.52801578329953</v>
      </c>
      <c r="K665" s="4">
        <f>IFERROR(H665/I665,"")</f>
        <v>1.9406918446180584E-2</v>
      </c>
    </row>
    <row r="666" spans="1:11">
      <c r="A666" t="s">
        <v>13</v>
      </c>
      <c r="B666" t="s">
        <v>27</v>
      </c>
      <c r="C666" t="s">
        <v>11</v>
      </c>
      <c r="D666" t="s">
        <v>21</v>
      </c>
      <c r="E666" t="s">
        <v>15</v>
      </c>
      <c r="F666" t="s">
        <v>16</v>
      </c>
      <c r="G666" s="6">
        <v>2025</v>
      </c>
      <c r="H666" s="2">
        <v>54890</v>
      </c>
      <c r="I666" s="2">
        <v>2824324.7030294291</v>
      </c>
      <c r="J666" s="3">
        <f>IFERROR(I666/H666,"")</f>
        <v>51.454266770439588</v>
      </c>
      <c r="K666" s="4">
        <f>IFERROR(H666/I666,"")</f>
        <v>1.9434734236160541E-2</v>
      </c>
    </row>
    <row r="667" spans="1:11">
      <c r="A667" t="s">
        <v>17</v>
      </c>
      <c r="B667" t="s">
        <v>59</v>
      </c>
      <c r="C667" t="s">
        <v>11</v>
      </c>
      <c r="D667" t="s">
        <v>21</v>
      </c>
      <c r="E667" t="s">
        <v>15</v>
      </c>
      <c r="F667" t="s">
        <v>16</v>
      </c>
      <c r="G667" s="6" t="s">
        <v>81</v>
      </c>
      <c r="H667" s="2">
        <v>20773</v>
      </c>
      <c r="I667" s="2">
        <v>1068795.2233319241</v>
      </c>
      <c r="J667" s="3">
        <f>IFERROR(I667/H667,"")</f>
        <v>51.451173317860878</v>
      </c>
      <c r="K667" s="4">
        <f>IFERROR(H667/I667,"")</f>
        <v>1.9435902730965664E-2</v>
      </c>
    </row>
    <row r="668" spans="1:11">
      <c r="A668" t="s">
        <v>19</v>
      </c>
      <c r="B668" t="s">
        <v>56</v>
      </c>
      <c r="C668" t="s">
        <v>40</v>
      </c>
      <c r="D668" t="s">
        <v>21</v>
      </c>
      <c r="E668" t="s">
        <v>15</v>
      </c>
      <c r="F668" t="s">
        <v>16</v>
      </c>
      <c r="G668" s="6" t="s">
        <v>81</v>
      </c>
      <c r="H668" s="2">
        <v>32754</v>
      </c>
      <c r="I668" s="2">
        <v>1682738.1569350502</v>
      </c>
      <c r="J668" s="3">
        <f>IFERROR(I668/H668,"")</f>
        <v>51.375042954602499</v>
      </c>
      <c r="K668" s="4">
        <f>IFERROR(H668/I668,"")</f>
        <v>1.9464703920221517E-2</v>
      </c>
    </row>
    <row r="669" spans="1:11">
      <c r="A669" t="s">
        <v>19</v>
      </c>
      <c r="B669" t="s">
        <v>66</v>
      </c>
      <c r="C669" t="s">
        <v>67</v>
      </c>
      <c r="D669" t="s">
        <v>21</v>
      </c>
      <c r="E669" t="s">
        <v>15</v>
      </c>
      <c r="F669" t="s">
        <v>16</v>
      </c>
      <c r="G669" s="6">
        <v>2024</v>
      </c>
      <c r="H669" s="2">
        <v>78601</v>
      </c>
      <c r="I669" s="2">
        <v>4037761.1399740539</v>
      </c>
      <c r="J669" s="3">
        <f>IFERROR(I669/H669,"")</f>
        <v>51.370353303062991</v>
      </c>
      <c r="K669" s="4">
        <f>IFERROR(H669/I669,"")</f>
        <v>1.9466480872740551E-2</v>
      </c>
    </row>
    <row r="670" spans="1:11">
      <c r="A670" t="s">
        <v>19</v>
      </c>
      <c r="B670" t="s">
        <v>66</v>
      </c>
      <c r="C670" t="s">
        <v>67</v>
      </c>
      <c r="D670" t="s">
        <v>21</v>
      </c>
      <c r="E670" t="s">
        <v>15</v>
      </c>
      <c r="F670" t="s">
        <v>16</v>
      </c>
      <c r="G670" s="6" t="s">
        <v>81</v>
      </c>
      <c r="H670" s="2">
        <v>28055</v>
      </c>
      <c r="I670" s="2">
        <v>1441079.8998569879</v>
      </c>
      <c r="J670" s="3">
        <f>IFERROR(I670/H670,"")</f>
        <v>51.366241306611577</v>
      </c>
      <c r="K670" s="4">
        <f>IFERROR(H670/I670,"")</f>
        <v>1.9468039213359486E-2</v>
      </c>
    </row>
    <row r="671" spans="1:11">
      <c r="A671" t="s">
        <v>11</v>
      </c>
      <c r="B671" t="s">
        <v>64</v>
      </c>
      <c r="C671" t="s">
        <v>11</v>
      </c>
      <c r="D671" t="s">
        <v>21</v>
      </c>
      <c r="E671" t="s">
        <v>15</v>
      </c>
      <c r="F671" t="s">
        <v>16</v>
      </c>
      <c r="G671" s="6" t="s">
        <v>82</v>
      </c>
      <c r="H671" s="2">
        <v>98503</v>
      </c>
      <c r="I671" s="2">
        <v>5057091.9824486207</v>
      </c>
      <c r="J671" s="3">
        <f>IFERROR(I671/H671,"")</f>
        <v>51.339471716075863</v>
      </c>
      <c r="K671" s="4">
        <f>IFERROR(H671/I671,"")</f>
        <v>1.9478190300249453E-2</v>
      </c>
    </row>
    <row r="672" spans="1:11">
      <c r="A672" t="s">
        <v>19</v>
      </c>
      <c r="B672" t="s">
        <v>57</v>
      </c>
      <c r="C672" t="s">
        <v>25</v>
      </c>
      <c r="D672" t="s">
        <v>21</v>
      </c>
      <c r="E672" t="s">
        <v>15</v>
      </c>
      <c r="F672" t="s">
        <v>26</v>
      </c>
      <c r="G672" s="6">
        <v>2024</v>
      </c>
      <c r="H672" s="2">
        <v>3629</v>
      </c>
      <c r="I672" s="2">
        <v>185357</v>
      </c>
      <c r="J672" s="3">
        <f>IFERROR(I672/H672,"")</f>
        <v>51.07660512537889</v>
      </c>
      <c r="K672" s="4">
        <f>IFERROR(H672/I672,"")</f>
        <v>1.9578435127888344E-2</v>
      </c>
    </row>
    <row r="673" spans="1:11">
      <c r="A673" t="s">
        <v>19</v>
      </c>
      <c r="B673" t="s">
        <v>52</v>
      </c>
      <c r="C673" t="s">
        <v>40</v>
      </c>
      <c r="D673" t="s">
        <v>21</v>
      </c>
      <c r="E673" t="s">
        <v>15</v>
      </c>
      <c r="F673" t="s">
        <v>16</v>
      </c>
      <c r="G673" s="6">
        <v>2024</v>
      </c>
      <c r="H673" s="2">
        <v>28429</v>
      </c>
      <c r="I673" s="2">
        <v>1451447.4845677139</v>
      </c>
      <c r="J673" s="3">
        <f>IFERROR(I673/H673,"")</f>
        <v>51.05517199225136</v>
      </c>
      <c r="K673" s="4">
        <f>IFERROR(H673/I673,"")</f>
        <v>1.9586654220884223E-2</v>
      </c>
    </row>
    <row r="674" spans="1:11">
      <c r="A674" t="s">
        <v>11</v>
      </c>
      <c r="B674" t="s">
        <v>59</v>
      </c>
      <c r="C674" t="s">
        <v>11</v>
      </c>
      <c r="D674" t="s">
        <v>21</v>
      </c>
      <c r="E674" t="s">
        <v>15</v>
      </c>
      <c r="F674" t="s">
        <v>16</v>
      </c>
      <c r="G674" s="6" t="s">
        <v>82</v>
      </c>
      <c r="H674" s="2">
        <v>74927</v>
      </c>
      <c r="I674" s="2">
        <v>3822790.0975155262</v>
      </c>
      <c r="J674" s="3">
        <f>IFERROR(I674/H674,"")</f>
        <v>51.020194289315285</v>
      </c>
      <c r="K674" s="4">
        <f>IFERROR(H674/I674,"")</f>
        <v>1.960008216216106E-2</v>
      </c>
    </row>
    <row r="675" spans="1:11">
      <c r="A675" t="s">
        <v>19</v>
      </c>
      <c r="B675" t="s">
        <v>34</v>
      </c>
      <c r="C675" t="s">
        <v>13</v>
      </c>
      <c r="D675" t="s">
        <v>21</v>
      </c>
      <c r="E675" t="s">
        <v>15</v>
      </c>
      <c r="F675" t="s">
        <v>16</v>
      </c>
      <c r="G675" s="6">
        <v>2024</v>
      </c>
      <c r="H675" s="2">
        <v>15280</v>
      </c>
      <c r="I675" s="2">
        <v>778295.4388447603</v>
      </c>
      <c r="J675" s="3">
        <f>IFERROR(I675/H675,"")</f>
        <v>50.935565369421482</v>
      </c>
      <c r="K675" s="4">
        <f>IFERROR(H675/I675,"")</f>
        <v>1.9632647497819612E-2</v>
      </c>
    </row>
    <row r="676" spans="1:11">
      <c r="A676" t="s">
        <v>19</v>
      </c>
      <c r="B676" t="s">
        <v>22</v>
      </c>
      <c r="C676" t="s">
        <v>17</v>
      </c>
      <c r="D676" t="s">
        <v>14</v>
      </c>
      <c r="E676" t="s">
        <v>15</v>
      </c>
      <c r="F676" t="s">
        <v>16</v>
      </c>
      <c r="G676" s="6">
        <v>2024</v>
      </c>
      <c r="H676" s="2">
        <v>122431</v>
      </c>
      <c r="I676" s="2">
        <v>6215717.4276632322</v>
      </c>
      <c r="J676" s="3">
        <f>IFERROR(I676/H676,"")</f>
        <v>50.769146928990473</v>
      </c>
      <c r="K676" s="4">
        <f>IFERROR(H676/I676,"")</f>
        <v>1.9697002224573025E-2</v>
      </c>
    </row>
    <row r="677" spans="1:11">
      <c r="A677" t="s">
        <v>19</v>
      </c>
      <c r="B677" t="s">
        <v>24</v>
      </c>
      <c r="C677" t="s">
        <v>25</v>
      </c>
      <c r="D677" t="s">
        <v>14</v>
      </c>
      <c r="E677" t="s">
        <v>15</v>
      </c>
      <c r="F677" t="s">
        <v>26</v>
      </c>
      <c r="G677" s="6">
        <v>2025</v>
      </c>
      <c r="H677" s="2">
        <v>43740</v>
      </c>
      <c r="I677" s="2">
        <v>2213197.805127955</v>
      </c>
      <c r="J677" s="3">
        <f>IFERROR(I677/H677,"")</f>
        <v>50.598943875810583</v>
      </c>
      <c r="K677" s="4">
        <f>IFERROR(H677/I677,"")</f>
        <v>1.9763258348917075E-2</v>
      </c>
    </row>
    <row r="678" spans="1:11">
      <c r="A678" t="s">
        <v>17</v>
      </c>
      <c r="B678" t="s">
        <v>22</v>
      </c>
      <c r="C678" t="s">
        <v>17</v>
      </c>
      <c r="D678" t="s">
        <v>14</v>
      </c>
      <c r="E678" t="s">
        <v>15</v>
      </c>
      <c r="F678" t="s">
        <v>16</v>
      </c>
      <c r="G678" s="6" t="s">
        <v>81</v>
      </c>
      <c r="H678" s="2">
        <v>63653</v>
      </c>
      <c r="I678" s="2">
        <v>3216915.657326608</v>
      </c>
      <c r="J678" s="3">
        <f>IFERROR(I678/H678,"")</f>
        <v>50.53831959729483</v>
      </c>
      <c r="K678" s="4">
        <f>IFERROR(H678/I678,"")</f>
        <v>1.9786965771088422E-2</v>
      </c>
    </row>
    <row r="679" spans="1:11">
      <c r="A679" t="s">
        <v>19</v>
      </c>
      <c r="B679" t="s">
        <v>64</v>
      </c>
      <c r="C679" t="s">
        <v>11</v>
      </c>
      <c r="D679" t="s">
        <v>21</v>
      </c>
      <c r="E679" t="s">
        <v>15</v>
      </c>
      <c r="F679" t="s">
        <v>16</v>
      </c>
      <c r="G679" s="6">
        <v>2025</v>
      </c>
      <c r="H679" s="2">
        <v>60566</v>
      </c>
      <c r="I679" s="2">
        <v>3048914.8347194982</v>
      </c>
      <c r="J679" s="3">
        <f>IFERROR(I679/H679,"")</f>
        <v>50.34036975728128</v>
      </c>
      <c r="K679" s="4">
        <f>IFERROR(H679/I679,"")</f>
        <v>1.9864772643140131E-2</v>
      </c>
    </row>
    <row r="680" spans="1:11">
      <c r="A680" t="s">
        <v>19</v>
      </c>
      <c r="B680" t="s">
        <v>53</v>
      </c>
      <c r="C680" t="s">
        <v>17</v>
      </c>
      <c r="D680" t="s">
        <v>14</v>
      </c>
      <c r="E680" t="s">
        <v>15</v>
      </c>
      <c r="F680" t="s">
        <v>16</v>
      </c>
      <c r="G680" s="6" t="s">
        <v>82</v>
      </c>
      <c r="H680" s="2">
        <v>35285</v>
      </c>
      <c r="I680" s="2">
        <v>1772530.793616557</v>
      </c>
      <c r="J680" s="3">
        <f>IFERROR(I680/H680,"")</f>
        <v>50.234683112273117</v>
      </c>
      <c r="K680" s="4">
        <f>IFERROR(H680/I680,"")</f>
        <v>1.9906565305986459E-2</v>
      </c>
    </row>
    <row r="681" spans="1:11">
      <c r="A681" t="s">
        <v>13</v>
      </c>
      <c r="B681" t="s">
        <v>58</v>
      </c>
      <c r="C681" t="s">
        <v>43</v>
      </c>
      <c r="D681" t="s">
        <v>21</v>
      </c>
      <c r="E681" t="s">
        <v>15</v>
      </c>
      <c r="F681" t="s">
        <v>16</v>
      </c>
      <c r="G681" s="6">
        <v>2024</v>
      </c>
      <c r="H681" s="2">
        <v>44203</v>
      </c>
      <c r="I681" s="2">
        <v>2219604.1944969818</v>
      </c>
      <c r="J681" s="3">
        <f>IFERROR(I681/H681,"")</f>
        <v>50.213881286269753</v>
      </c>
      <c r="K681" s="4">
        <f>IFERROR(H681/I681,"")</f>
        <v>1.9914811888349992E-2</v>
      </c>
    </row>
    <row r="682" spans="1:11">
      <c r="A682" t="s">
        <v>19</v>
      </c>
      <c r="B682" t="s">
        <v>55</v>
      </c>
      <c r="C682" t="s">
        <v>43</v>
      </c>
      <c r="D682" t="s">
        <v>21</v>
      </c>
      <c r="E682" t="s">
        <v>15</v>
      </c>
      <c r="F682" t="s">
        <v>16</v>
      </c>
      <c r="G682" s="6" t="s">
        <v>82</v>
      </c>
      <c r="H682" s="2">
        <v>18814</v>
      </c>
      <c r="I682" s="2">
        <v>935611.59945840202</v>
      </c>
      <c r="J682" s="3">
        <f>IFERROR(I682/H682,"")</f>
        <v>49.729541801764753</v>
      </c>
      <c r="K682" s="4">
        <f>IFERROR(H682/I682,"")</f>
        <v>2.0108771642945503E-2</v>
      </c>
    </row>
    <row r="683" spans="1:11">
      <c r="A683" t="s">
        <v>19</v>
      </c>
      <c r="B683" t="s">
        <v>73</v>
      </c>
      <c r="C683" t="s">
        <v>43</v>
      </c>
      <c r="D683" t="s">
        <v>21</v>
      </c>
      <c r="E683" t="s">
        <v>15</v>
      </c>
      <c r="F683" t="s">
        <v>16</v>
      </c>
      <c r="G683" s="6">
        <v>2025</v>
      </c>
      <c r="H683" s="2">
        <v>73186</v>
      </c>
      <c r="I683" s="2">
        <v>3625888.5295296852</v>
      </c>
      <c r="J683" s="3">
        <f>IFERROR(I683/H683,"")</f>
        <v>49.543471832449995</v>
      </c>
      <c r="K683" s="4">
        <f>IFERROR(H683/I683,"")</f>
        <v>2.0184293974832419E-2</v>
      </c>
    </row>
    <row r="684" spans="1:11">
      <c r="A684" t="s">
        <v>18</v>
      </c>
      <c r="B684" t="s">
        <v>59</v>
      </c>
      <c r="C684" t="s">
        <v>11</v>
      </c>
      <c r="D684" t="s">
        <v>21</v>
      </c>
      <c r="E684" t="s">
        <v>15</v>
      </c>
      <c r="F684" t="s">
        <v>16</v>
      </c>
      <c r="G684" s="6" t="s">
        <v>81</v>
      </c>
      <c r="H684" s="2">
        <v>20926</v>
      </c>
      <c r="I684" s="2">
        <v>1034658.059187156</v>
      </c>
      <c r="J684" s="3">
        <f>IFERROR(I684/H684,"")</f>
        <v>49.443661434920962</v>
      </c>
      <c r="K684" s="4">
        <f>IFERROR(H684/I684,"")</f>
        <v>2.022503938783389E-2</v>
      </c>
    </row>
    <row r="685" spans="1:11">
      <c r="A685" t="s">
        <v>11</v>
      </c>
      <c r="B685" t="s">
        <v>58</v>
      </c>
      <c r="C685" t="s">
        <v>43</v>
      </c>
      <c r="D685" t="s">
        <v>21</v>
      </c>
      <c r="E685" t="s">
        <v>15</v>
      </c>
      <c r="F685" t="s">
        <v>16</v>
      </c>
      <c r="G685" s="6" t="s">
        <v>82</v>
      </c>
      <c r="H685" s="2">
        <v>12993</v>
      </c>
      <c r="I685" s="2">
        <v>642025.70917764399</v>
      </c>
      <c r="J685" s="3">
        <f>IFERROR(I685/H685,"")</f>
        <v>49.413200121422612</v>
      </c>
      <c r="K685" s="4">
        <f>IFERROR(H685/I685,"")</f>
        <v>2.0237507336960753E-2</v>
      </c>
    </row>
    <row r="686" spans="1:11">
      <c r="A686" t="s">
        <v>17</v>
      </c>
      <c r="B686" t="s">
        <v>23</v>
      </c>
      <c r="C686" t="s">
        <v>17</v>
      </c>
      <c r="D686" t="s">
        <v>14</v>
      </c>
      <c r="E686" t="s">
        <v>15</v>
      </c>
      <c r="F686" t="s">
        <v>16</v>
      </c>
      <c r="G686" s="6">
        <v>2024</v>
      </c>
      <c r="H686" s="2">
        <v>232886</v>
      </c>
      <c r="I686" s="2">
        <v>11487794.39752556</v>
      </c>
      <c r="J686" s="3">
        <f>IFERROR(I686/H686,"")</f>
        <v>49.327973332555672</v>
      </c>
      <c r="K686" s="4">
        <f>IFERROR(H686/I686,"")</f>
        <v>2.0272472847369466E-2</v>
      </c>
    </row>
    <row r="687" spans="1:11">
      <c r="A687" t="s">
        <v>17</v>
      </c>
      <c r="B687" t="s">
        <v>59</v>
      </c>
      <c r="C687" t="s">
        <v>11</v>
      </c>
      <c r="D687" t="s">
        <v>21</v>
      </c>
      <c r="E687" t="s">
        <v>15</v>
      </c>
      <c r="F687" t="s">
        <v>16</v>
      </c>
      <c r="G687" s="6">
        <v>2024</v>
      </c>
      <c r="H687" s="2">
        <v>67454</v>
      </c>
      <c r="I687" s="2">
        <v>3322177.209109718</v>
      </c>
      <c r="J687" s="3">
        <f>IFERROR(I687/H687,"")</f>
        <v>49.251003781980579</v>
      </c>
      <c r="K687" s="4">
        <f>IFERROR(H687/I687,"")</f>
        <v>2.0304154701632073E-2</v>
      </c>
    </row>
    <row r="688" spans="1:11">
      <c r="A688" t="s">
        <v>19</v>
      </c>
      <c r="B688" t="s">
        <v>52</v>
      </c>
      <c r="C688" t="s">
        <v>40</v>
      </c>
      <c r="D688" t="s">
        <v>21</v>
      </c>
      <c r="E688" t="s">
        <v>15</v>
      </c>
      <c r="F688" t="s">
        <v>16</v>
      </c>
      <c r="G688" s="6" t="s">
        <v>82</v>
      </c>
      <c r="H688" s="2">
        <v>11669</v>
      </c>
      <c r="I688" s="2">
        <v>572891.97523549898</v>
      </c>
      <c r="J688" s="3">
        <f>IFERROR(I688/H688,"")</f>
        <v>49.095207407275602</v>
      </c>
      <c r="K688" s="4">
        <f>IFERROR(H688/I688,"")</f>
        <v>2.0368586931599486E-2</v>
      </c>
    </row>
    <row r="689" spans="1:11">
      <c r="A689" t="s">
        <v>17</v>
      </c>
      <c r="B689" t="s">
        <v>23</v>
      </c>
      <c r="C689" t="s">
        <v>17</v>
      </c>
      <c r="D689" t="s">
        <v>14</v>
      </c>
      <c r="E689" t="s">
        <v>15</v>
      </c>
      <c r="F689" t="s">
        <v>16</v>
      </c>
      <c r="G689" s="6" t="s">
        <v>82</v>
      </c>
      <c r="H689" s="2">
        <v>80982</v>
      </c>
      <c r="I689" s="2">
        <v>3969760.496623592</v>
      </c>
      <c r="J689" s="3">
        <f>IFERROR(I689/H689,"")</f>
        <v>49.020282243258897</v>
      </c>
      <c r="K689" s="4">
        <f>IFERROR(H689/I689,"")</f>
        <v>2.0399719345506554E-2</v>
      </c>
    </row>
    <row r="690" spans="1:11">
      <c r="A690" t="s">
        <v>19</v>
      </c>
      <c r="B690" t="s">
        <v>52</v>
      </c>
      <c r="C690" t="s">
        <v>40</v>
      </c>
      <c r="D690" t="s">
        <v>21</v>
      </c>
      <c r="E690" t="s">
        <v>15</v>
      </c>
      <c r="F690" t="s">
        <v>16</v>
      </c>
      <c r="G690" s="6">
        <v>2025</v>
      </c>
      <c r="H690" s="2">
        <v>30294</v>
      </c>
      <c r="I690" s="2">
        <v>1468755.59960904</v>
      </c>
      <c r="J690" s="3">
        <f>IFERROR(I690/H690,"")</f>
        <v>48.4833828351832</v>
      </c>
      <c r="K690" s="4">
        <f>IFERROR(H690/I690,"")</f>
        <v>2.0625623492474713E-2</v>
      </c>
    </row>
    <row r="691" spans="1:11">
      <c r="A691" t="s">
        <v>19</v>
      </c>
      <c r="B691" t="s">
        <v>64</v>
      </c>
      <c r="C691" t="s">
        <v>11</v>
      </c>
      <c r="D691" t="s">
        <v>21</v>
      </c>
      <c r="E691" t="s">
        <v>15</v>
      </c>
      <c r="F691" t="s">
        <v>16</v>
      </c>
      <c r="G691" s="6">
        <v>2024</v>
      </c>
      <c r="H691" s="2">
        <v>58345</v>
      </c>
      <c r="I691" s="2">
        <v>2819650.094153794</v>
      </c>
      <c r="J691" s="3">
        <f>IFERROR(I691/H691,"")</f>
        <v>48.32719331825853</v>
      </c>
      <c r="K691" s="4">
        <f>IFERROR(H691/I691,"")</f>
        <v>2.0692283812438768E-2</v>
      </c>
    </row>
    <row r="692" spans="1:11">
      <c r="A692" t="s">
        <v>17</v>
      </c>
      <c r="B692" t="s">
        <v>22</v>
      </c>
      <c r="C692" t="s">
        <v>17</v>
      </c>
      <c r="D692" t="s">
        <v>14</v>
      </c>
      <c r="E692" t="s">
        <v>15</v>
      </c>
      <c r="F692" t="s">
        <v>16</v>
      </c>
      <c r="G692" s="6">
        <v>2025</v>
      </c>
      <c r="H692" s="2">
        <v>205862</v>
      </c>
      <c r="I692" s="2">
        <v>9933680.5770707093</v>
      </c>
      <c r="J692" s="3">
        <f>IFERROR(I692/H692,"")</f>
        <v>48.254075920134404</v>
      </c>
      <c r="K692" s="4">
        <f>IFERROR(H692/I692,"")</f>
        <v>2.0723637971124049E-2</v>
      </c>
    </row>
    <row r="693" spans="1:11">
      <c r="A693" t="s">
        <v>17</v>
      </c>
      <c r="B693" t="s">
        <v>23</v>
      </c>
      <c r="C693" t="s">
        <v>17</v>
      </c>
      <c r="D693" t="s">
        <v>14</v>
      </c>
      <c r="E693" t="s">
        <v>15</v>
      </c>
      <c r="F693" t="s">
        <v>16</v>
      </c>
      <c r="G693" s="6">
        <v>2025</v>
      </c>
      <c r="H693" s="2">
        <v>253712</v>
      </c>
      <c r="I693" s="2">
        <v>12114318.371017093</v>
      </c>
      <c r="J693" s="3">
        <f>IFERROR(I693/H693,"")</f>
        <v>47.748306627266714</v>
      </c>
      <c r="K693" s="4">
        <f>IFERROR(H693/I693,"")</f>
        <v>2.0943151090282833E-2</v>
      </c>
    </row>
    <row r="694" spans="1:11">
      <c r="A694" t="s">
        <v>18</v>
      </c>
      <c r="B694" t="s">
        <v>59</v>
      </c>
      <c r="C694" t="s">
        <v>11</v>
      </c>
      <c r="D694" t="s">
        <v>21</v>
      </c>
      <c r="E694" t="s">
        <v>15</v>
      </c>
      <c r="F694" t="s">
        <v>16</v>
      </c>
      <c r="G694" s="6" t="s">
        <v>82</v>
      </c>
      <c r="H694" s="2">
        <v>22138</v>
      </c>
      <c r="I694" s="2">
        <v>1054853.4236911209</v>
      </c>
      <c r="J694" s="3">
        <f>IFERROR(I694/H694,"")</f>
        <v>47.648993752422122</v>
      </c>
      <c r="K694" s="4">
        <f>IFERROR(H694/I694,"")</f>
        <v>2.0986802054957718E-2</v>
      </c>
    </row>
    <row r="695" spans="1:11">
      <c r="A695" t="s">
        <v>19</v>
      </c>
      <c r="B695" t="s">
        <v>55</v>
      </c>
      <c r="C695" t="s">
        <v>43</v>
      </c>
      <c r="D695" t="s">
        <v>21</v>
      </c>
      <c r="E695" t="s">
        <v>15</v>
      </c>
      <c r="F695" t="s">
        <v>16</v>
      </c>
      <c r="G695" s="6" t="s">
        <v>81</v>
      </c>
      <c r="H695" s="2">
        <v>15561</v>
      </c>
      <c r="I695" s="2">
        <v>740743.67993653705</v>
      </c>
      <c r="J695" s="3">
        <f>IFERROR(I695/H695,"")</f>
        <v>47.602575665865757</v>
      </c>
      <c r="K695" s="4">
        <f>IFERROR(H695/I695,"")</f>
        <v>2.1007266644965751E-2</v>
      </c>
    </row>
    <row r="696" spans="1:11">
      <c r="A696" t="s">
        <v>19</v>
      </c>
      <c r="B696" t="s">
        <v>46</v>
      </c>
      <c r="C696" t="s">
        <v>38</v>
      </c>
      <c r="D696" t="s">
        <v>21</v>
      </c>
      <c r="E696" t="s">
        <v>15</v>
      </c>
      <c r="F696" t="s">
        <v>16</v>
      </c>
      <c r="G696" s="6">
        <v>2025</v>
      </c>
      <c r="H696" s="2">
        <v>109042</v>
      </c>
      <c r="I696" s="2">
        <v>5182799.0597126931</v>
      </c>
      <c r="J696" s="3">
        <f>IFERROR(I696/H696,"")</f>
        <v>47.53030079889119</v>
      </c>
      <c r="K696" s="4">
        <f>IFERROR(H696/I696,"")</f>
        <v>2.1039210423497434E-2</v>
      </c>
    </row>
    <row r="697" spans="1:11">
      <c r="A697" t="s">
        <v>13</v>
      </c>
      <c r="B697" t="s">
        <v>54</v>
      </c>
      <c r="C697" t="s">
        <v>25</v>
      </c>
      <c r="D697" t="s">
        <v>21</v>
      </c>
      <c r="E697" t="s">
        <v>15</v>
      </c>
      <c r="F697" t="s">
        <v>26</v>
      </c>
      <c r="G697" s="6">
        <v>2024</v>
      </c>
      <c r="H697" s="2">
        <v>39951</v>
      </c>
      <c r="I697" s="2">
        <v>1894301.5418745219</v>
      </c>
      <c r="J697" s="3">
        <f>IFERROR(I697/H697,"")</f>
        <v>47.415622684651744</v>
      </c>
      <c r="K697" s="4">
        <f>IFERROR(H697/I697,"")</f>
        <v>2.1090095276207269E-2</v>
      </c>
    </row>
    <row r="698" spans="1:11">
      <c r="A698" t="s">
        <v>17</v>
      </c>
      <c r="B698" t="s">
        <v>23</v>
      </c>
      <c r="C698" t="s">
        <v>17</v>
      </c>
      <c r="D698" t="s">
        <v>14</v>
      </c>
      <c r="E698" t="s">
        <v>15</v>
      </c>
      <c r="F698" t="s">
        <v>16</v>
      </c>
      <c r="G698" s="6" t="s">
        <v>81</v>
      </c>
      <c r="H698" s="2">
        <v>76704</v>
      </c>
      <c r="I698" s="2">
        <v>3616359.9505186267</v>
      </c>
      <c r="J698" s="3">
        <f>IFERROR(I698/H698,"")</f>
        <v>47.146953881396364</v>
      </c>
      <c r="K698" s="4">
        <f>IFERROR(H698/I698,"")</f>
        <v>2.1210278028048559E-2</v>
      </c>
    </row>
    <row r="699" spans="1:11">
      <c r="A699" t="s">
        <v>17</v>
      </c>
      <c r="B699" t="s">
        <v>22</v>
      </c>
      <c r="C699" t="s">
        <v>17</v>
      </c>
      <c r="D699" t="s">
        <v>14</v>
      </c>
      <c r="E699" t="s">
        <v>15</v>
      </c>
      <c r="F699" t="s">
        <v>16</v>
      </c>
      <c r="G699" s="6">
        <v>2024</v>
      </c>
      <c r="H699" s="2">
        <v>202317</v>
      </c>
      <c r="I699" s="2">
        <v>9498739.2870353851</v>
      </c>
      <c r="J699" s="3">
        <f>IFERROR(I699/H699,"")</f>
        <v>46.949783196841516</v>
      </c>
      <c r="K699" s="4">
        <f>IFERROR(H699/I699,"")</f>
        <v>2.1299352881085799E-2</v>
      </c>
    </row>
    <row r="700" spans="1:11">
      <c r="A700" t="s">
        <v>13</v>
      </c>
      <c r="B700" t="s">
        <v>59</v>
      </c>
      <c r="C700" t="s">
        <v>11</v>
      </c>
      <c r="D700" t="s">
        <v>21</v>
      </c>
      <c r="E700" t="s">
        <v>15</v>
      </c>
      <c r="F700" t="s">
        <v>16</v>
      </c>
      <c r="G700" s="6">
        <v>2024</v>
      </c>
      <c r="H700" s="2">
        <v>78164</v>
      </c>
      <c r="I700" s="2">
        <v>3651275.5670883497</v>
      </c>
      <c r="J700" s="3">
        <f>IFERROR(I700/H700,"")</f>
        <v>46.713008125074836</v>
      </c>
      <c r="K700" s="4">
        <f>IFERROR(H700/I700,"")</f>
        <v>2.1407313297454184E-2</v>
      </c>
    </row>
    <row r="701" spans="1:11">
      <c r="A701" t="s">
        <v>19</v>
      </c>
      <c r="B701" t="s">
        <v>55</v>
      </c>
      <c r="C701" t="s">
        <v>43</v>
      </c>
      <c r="D701" t="s">
        <v>21</v>
      </c>
      <c r="E701" t="s">
        <v>15</v>
      </c>
      <c r="F701" t="s">
        <v>16</v>
      </c>
      <c r="G701" s="6">
        <v>2024</v>
      </c>
      <c r="H701" s="2">
        <v>46975</v>
      </c>
      <c r="I701" s="2">
        <v>2187711.643045777</v>
      </c>
      <c r="J701" s="3">
        <f>IFERROR(I701/H701,"")</f>
        <v>46.571828484210258</v>
      </c>
      <c r="K701" s="4">
        <f>IFERROR(H701/I701,"")</f>
        <v>2.147220825437508E-2</v>
      </c>
    </row>
    <row r="702" spans="1:11">
      <c r="A702" t="s">
        <v>19</v>
      </c>
      <c r="B702" t="s">
        <v>66</v>
      </c>
      <c r="C702" t="s">
        <v>67</v>
      </c>
      <c r="D702" t="s">
        <v>21</v>
      </c>
      <c r="E702" t="s">
        <v>15</v>
      </c>
      <c r="F702" t="s">
        <v>16</v>
      </c>
      <c r="G702" s="6" t="s">
        <v>82</v>
      </c>
      <c r="H702" s="2">
        <v>30675</v>
      </c>
      <c r="I702" s="2">
        <v>1426518.389409045</v>
      </c>
      <c r="J702" s="3">
        <f>IFERROR(I702/H702,"")</f>
        <v>46.5042669734</v>
      </c>
      <c r="K702" s="4">
        <f>IFERROR(H702/I702,"")</f>
        <v>2.150340313012547E-2</v>
      </c>
    </row>
    <row r="703" spans="1:11">
      <c r="A703" t="s">
        <v>11</v>
      </c>
      <c r="B703" t="s">
        <v>64</v>
      </c>
      <c r="C703" t="s">
        <v>11</v>
      </c>
      <c r="D703" t="s">
        <v>21</v>
      </c>
      <c r="E703" t="s">
        <v>15</v>
      </c>
      <c r="F703" t="s">
        <v>16</v>
      </c>
      <c r="G703" s="6">
        <v>2025</v>
      </c>
      <c r="H703" s="2">
        <v>285531</v>
      </c>
      <c r="I703" s="2">
        <v>13201268.530328248</v>
      </c>
      <c r="J703" s="3">
        <f>IFERROR(I703/H703,"")</f>
        <v>46.234099030677044</v>
      </c>
      <c r="K703" s="4">
        <f>IFERROR(H703/I703,"")</f>
        <v>2.1629057794258829E-2</v>
      </c>
    </row>
    <row r="704" spans="1:11">
      <c r="A704" t="s">
        <v>19</v>
      </c>
      <c r="B704" t="s">
        <v>34</v>
      </c>
      <c r="C704" t="s">
        <v>13</v>
      </c>
      <c r="D704" t="s">
        <v>21</v>
      </c>
      <c r="E704" t="s">
        <v>15</v>
      </c>
      <c r="F704" t="s">
        <v>16</v>
      </c>
      <c r="G704" s="6" t="s">
        <v>81</v>
      </c>
      <c r="H704" s="2">
        <v>4373</v>
      </c>
      <c r="I704" s="2">
        <v>201869.89026284701</v>
      </c>
      <c r="J704" s="3">
        <f>IFERROR(I704/H704,"")</f>
        <v>46.162792193653559</v>
      </c>
      <c r="K704" s="4">
        <f>IFERROR(H704/I704,"")</f>
        <v>2.1662467811846952E-2</v>
      </c>
    </row>
    <row r="705" spans="1:11">
      <c r="A705" t="s">
        <v>11</v>
      </c>
      <c r="B705" t="s">
        <v>28</v>
      </c>
      <c r="C705" t="s">
        <v>18</v>
      </c>
      <c r="D705" t="s">
        <v>21</v>
      </c>
      <c r="E705" t="s">
        <v>15</v>
      </c>
      <c r="F705" t="s">
        <v>16</v>
      </c>
      <c r="G705" s="6">
        <v>2025</v>
      </c>
      <c r="H705" s="2">
        <v>38900</v>
      </c>
      <c r="I705" s="2">
        <v>1789328.3686191291</v>
      </c>
      <c r="J705" s="3">
        <f>IFERROR(I705/H705,"")</f>
        <v>45.998158576327228</v>
      </c>
      <c r="K705" s="4">
        <f>IFERROR(H705/I705,"")</f>
        <v>2.1740000707651069E-2</v>
      </c>
    </row>
    <row r="706" spans="1:11">
      <c r="A706" t="s">
        <v>19</v>
      </c>
      <c r="B706" t="s">
        <v>64</v>
      </c>
      <c r="C706" t="s">
        <v>11</v>
      </c>
      <c r="D706" t="s">
        <v>21</v>
      </c>
      <c r="E706" t="s">
        <v>15</v>
      </c>
      <c r="F706" t="s">
        <v>16</v>
      </c>
      <c r="G706" s="6" t="s">
        <v>81</v>
      </c>
      <c r="H706" s="2">
        <v>22062</v>
      </c>
      <c r="I706" s="2">
        <v>1014221.623309295</v>
      </c>
      <c r="J706" s="3">
        <f>IFERROR(I706/H706,"")</f>
        <v>45.971427037861254</v>
      </c>
      <c r="K706" s="4">
        <f>IFERROR(H706/I706,"")</f>
        <v>2.175264211781848E-2</v>
      </c>
    </row>
    <row r="707" spans="1:11">
      <c r="A707" t="s">
        <v>13</v>
      </c>
      <c r="B707" t="s">
        <v>54</v>
      </c>
      <c r="C707" t="s">
        <v>25</v>
      </c>
      <c r="D707" t="s">
        <v>21</v>
      </c>
      <c r="E707" t="s">
        <v>15</v>
      </c>
      <c r="F707" t="s">
        <v>26</v>
      </c>
      <c r="G707" s="6">
        <v>2025</v>
      </c>
      <c r="H707" s="2">
        <v>49904</v>
      </c>
      <c r="I707" s="2">
        <v>2277998.2306479588</v>
      </c>
      <c r="J707" s="3">
        <f>IFERROR(I707/H707,"")</f>
        <v>45.647608020358263</v>
      </c>
      <c r="K707" s="4">
        <f>IFERROR(H707/I707,"")</f>
        <v>2.19069529241053E-2</v>
      </c>
    </row>
    <row r="708" spans="1:11">
      <c r="A708" t="s">
        <v>19</v>
      </c>
      <c r="B708" t="s">
        <v>44</v>
      </c>
      <c r="C708" t="s">
        <v>36</v>
      </c>
      <c r="D708" t="s">
        <v>21</v>
      </c>
      <c r="E708" t="s">
        <v>15</v>
      </c>
      <c r="F708" t="s">
        <v>16</v>
      </c>
      <c r="G708" s="6" t="s">
        <v>81</v>
      </c>
      <c r="H708" s="2">
        <v>4900</v>
      </c>
      <c r="I708" s="2">
        <v>222074.71900756191</v>
      </c>
      <c r="J708" s="3">
        <f>IFERROR(I708/H708,"")</f>
        <v>45.321371226033044</v>
      </c>
      <c r="K708" s="4">
        <f>IFERROR(H708/I708,"")</f>
        <v>2.2064645727788355E-2</v>
      </c>
    </row>
    <row r="709" spans="1:11">
      <c r="A709" t="s">
        <v>19</v>
      </c>
      <c r="B709" t="s">
        <v>46</v>
      </c>
      <c r="C709" t="s">
        <v>38</v>
      </c>
      <c r="D709" t="s">
        <v>21</v>
      </c>
      <c r="E709" t="s">
        <v>15</v>
      </c>
      <c r="F709" t="s">
        <v>16</v>
      </c>
      <c r="G709" s="6">
        <v>2024</v>
      </c>
      <c r="H709" s="2">
        <v>112252</v>
      </c>
      <c r="I709" s="2">
        <v>5080008.98002782</v>
      </c>
      <c r="J709" s="3">
        <f>IFERROR(I709/H709,"")</f>
        <v>45.255398389586112</v>
      </c>
      <c r="K709" s="4">
        <f>IFERROR(H709/I709,"")</f>
        <v>2.2096811332681005E-2</v>
      </c>
    </row>
    <row r="710" spans="1:11">
      <c r="A710" t="s">
        <v>13</v>
      </c>
      <c r="B710" t="s">
        <v>68</v>
      </c>
      <c r="C710" t="s">
        <v>17</v>
      </c>
      <c r="D710" t="s">
        <v>21</v>
      </c>
      <c r="E710" t="s">
        <v>15</v>
      </c>
      <c r="F710" t="s">
        <v>16</v>
      </c>
      <c r="G710" s="6">
        <v>2024</v>
      </c>
      <c r="H710" s="2">
        <v>2824</v>
      </c>
      <c r="I710" s="2">
        <v>127217.20538066684</v>
      </c>
      <c r="J710" s="3">
        <f>IFERROR(I710/H710,"")</f>
        <v>45.048585474740385</v>
      </c>
      <c r="K710" s="4">
        <f>IFERROR(H710/I710,"")</f>
        <v>2.2198255271760295E-2</v>
      </c>
    </row>
    <row r="711" spans="1:11">
      <c r="A711" t="s">
        <v>13</v>
      </c>
      <c r="B711" t="s">
        <v>34</v>
      </c>
      <c r="C711" t="s">
        <v>13</v>
      </c>
      <c r="D711" t="s">
        <v>21</v>
      </c>
      <c r="E711" t="s">
        <v>15</v>
      </c>
      <c r="F711" t="s">
        <v>16</v>
      </c>
      <c r="G711" s="6">
        <v>2025</v>
      </c>
      <c r="H711" s="2">
        <v>143806</v>
      </c>
      <c r="I711" s="2">
        <v>6372864.2424237272</v>
      </c>
      <c r="J711" s="3">
        <f>IFERROR(I711/H711,"")</f>
        <v>44.315704785778948</v>
      </c>
      <c r="K711" s="4">
        <f>IFERROR(H711/I711,"")</f>
        <v>2.2565363787713091E-2</v>
      </c>
    </row>
    <row r="712" spans="1:11">
      <c r="A712" t="s">
        <v>18</v>
      </c>
      <c r="B712" t="s">
        <v>57</v>
      </c>
      <c r="C712" t="s">
        <v>25</v>
      </c>
      <c r="D712" t="s">
        <v>21</v>
      </c>
      <c r="E712" t="s">
        <v>15</v>
      </c>
      <c r="F712" t="s">
        <v>26</v>
      </c>
      <c r="G712" s="6">
        <v>2024</v>
      </c>
      <c r="H712" s="2">
        <v>7786</v>
      </c>
      <c r="I712" s="2">
        <v>342352</v>
      </c>
      <c r="J712" s="3">
        <f>IFERROR(I712/H712,"")</f>
        <v>43.970202928332903</v>
      </c>
      <c r="K712" s="4">
        <f>IFERROR(H712/I712,"")</f>
        <v>2.2742674206664485E-2</v>
      </c>
    </row>
    <row r="713" spans="1:11">
      <c r="A713" t="s">
        <v>17</v>
      </c>
      <c r="B713" t="s">
        <v>34</v>
      </c>
      <c r="C713" t="s">
        <v>13</v>
      </c>
      <c r="D713" t="s">
        <v>21</v>
      </c>
      <c r="E713" t="s">
        <v>15</v>
      </c>
      <c r="F713" t="s">
        <v>16</v>
      </c>
      <c r="G713" s="6" t="s">
        <v>82</v>
      </c>
      <c r="H713" s="2">
        <v>23158</v>
      </c>
      <c r="I713" s="2">
        <v>1015939.840452635</v>
      </c>
      <c r="J713" s="3">
        <f>IFERROR(I713/H713,"")</f>
        <v>43.86993006531803</v>
      </c>
      <c r="K713" s="4">
        <f>IFERROR(H713/I713,"")</f>
        <v>2.2794656807318771E-2</v>
      </c>
    </row>
    <row r="714" spans="1:11">
      <c r="A714" t="s">
        <v>11</v>
      </c>
      <c r="B714" t="s">
        <v>28</v>
      </c>
      <c r="C714" t="s">
        <v>18</v>
      </c>
      <c r="D714" t="s">
        <v>21</v>
      </c>
      <c r="E714" t="s">
        <v>15</v>
      </c>
      <c r="F714" t="s">
        <v>16</v>
      </c>
      <c r="G714" s="6">
        <v>2024</v>
      </c>
      <c r="H714" s="2">
        <v>40394</v>
      </c>
      <c r="I714" s="2">
        <v>1771953.0446878544</v>
      </c>
      <c r="J714" s="3">
        <f>IFERROR(I714/H714,"")</f>
        <v>43.866738740601434</v>
      </c>
      <c r="K714" s="4">
        <f>IFERROR(H714/I714,"")</f>
        <v>2.2796315128720452E-2</v>
      </c>
    </row>
    <row r="715" spans="1:11">
      <c r="A715" t="s">
        <v>13</v>
      </c>
      <c r="B715" t="s">
        <v>27</v>
      </c>
      <c r="C715" t="s">
        <v>11</v>
      </c>
      <c r="D715" t="s">
        <v>21</v>
      </c>
      <c r="E715" t="s">
        <v>15</v>
      </c>
      <c r="F715" t="s">
        <v>16</v>
      </c>
      <c r="G715" s="6" t="s">
        <v>81</v>
      </c>
      <c r="H715" s="2">
        <v>24307</v>
      </c>
      <c r="I715" s="2">
        <v>1059220.5996509891</v>
      </c>
      <c r="J715" s="3">
        <f>IFERROR(I715/H715,"")</f>
        <v>43.576772108898219</v>
      </c>
      <c r="K715" s="4">
        <f>IFERROR(H715/I715,"")</f>
        <v>2.2948005361686796E-2</v>
      </c>
    </row>
    <row r="716" spans="1:11">
      <c r="A716" t="s">
        <v>19</v>
      </c>
      <c r="B716" t="s">
        <v>46</v>
      </c>
      <c r="C716" t="s">
        <v>38</v>
      </c>
      <c r="D716" t="s">
        <v>21</v>
      </c>
      <c r="E716" t="s">
        <v>15</v>
      </c>
      <c r="F716" t="s">
        <v>16</v>
      </c>
      <c r="G716" s="6" t="s">
        <v>82</v>
      </c>
      <c r="H716" s="2">
        <v>43538</v>
      </c>
      <c r="I716" s="2">
        <v>1877383.7316774921</v>
      </c>
      <c r="J716" s="3">
        <f>IFERROR(I716/H716,"")</f>
        <v>43.120578154198448</v>
      </c>
      <c r="K716" s="4">
        <f>IFERROR(H716/I716,"")</f>
        <v>2.3190783676972443E-2</v>
      </c>
    </row>
    <row r="717" spans="1:11">
      <c r="A717" t="s">
        <v>11</v>
      </c>
      <c r="B717" t="s">
        <v>59</v>
      </c>
      <c r="C717" t="s">
        <v>11</v>
      </c>
      <c r="D717" t="s">
        <v>21</v>
      </c>
      <c r="E717" t="s">
        <v>15</v>
      </c>
      <c r="F717" t="s">
        <v>16</v>
      </c>
      <c r="G717" s="6">
        <v>2025</v>
      </c>
      <c r="H717" s="2">
        <v>221001</v>
      </c>
      <c r="I717" s="2">
        <v>9500551.8101756331</v>
      </c>
      <c r="J717" s="3">
        <f>IFERROR(I717/H717,"")</f>
        <v>42.988727698859428</v>
      </c>
      <c r="K717" s="4">
        <f>IFERROR(H717/I717,"")</f>
        <v>2.3261911983185578E-2</v>
      </c>
    </row>
    <row r="718" spans="1:11">
      <c r="A718" t="s">
        <v>11</v>
      </c>
      <c r="B718" t="s">
        <v>64</v>
      </c>
      <c r="C718" t="s">
        <v>11</v>
      </c>
      <c r="D718" t="s">
        <v>21</v>
      </c>
      <c r="E718" t="s">
        <v>15</v>
      </c>
      <c r="F718" t="s">
        <v>16</v>
      </c>
      <c r="G718" s="6">
        <v>2024</v>
      </c>
      <c r="H718" s="2">
        <v>277297</v>
      </c>
      <c r="I718" s="2">
        <v>11892017.729132103</v>
      </c>
      <c r="J718" s="3">
        <f>IFERROR(I718/H718,"")</f>
        <v>42.885490031021263</v>
      </c>
      <c r="K718" s="4">
        <f>IFERROR(H718/I718,"")</f>
        <v>2.3317910073468881E-2</v>
      </c>
    </row>
    <row r="719" spans="1:11">
      <c r="A719" t="s">
        <v>13</v>
      </c>
      <c r="B719" t="s">
        <v>59</v>
      </c>
      <c r="C719" t="s">
        <v>11</v>
      </c>
      <c r="D719" t="s">
        <v>21</v>
      </c>
      <c r="E719" t="s">
        <v>15</v>
      </c>
      <c r="F719" t="s">
        <v>16</v>
      </c>
      <c r="G719" s="6">
        <v>2025</v>
      </c>
      <c r="H719" s="2">
        <v>75397</v>
      </c>
      <c r="I719" s="2">
        <v>3216163.8073285311</v>
      </c>
      <c r="J719" s="3">
        <f>IFERROR(I719/H719,"")</f>
        <v>42.656389608718264</v>
      </c>
      <c r="K719" s="4">
        <f>IFERROR(H719/I719,"")</f>
        <v>2.3443146716655469E-2</v>
      </c>
    </row>
    <row r="720" spans="1:11">
      <c r="A720" t="s">
        <v>18</v>
      </c>
      <c r="B720" t="s">
        <v>65</v>
      </c>
      <c r="C720" t="s">
        <v>18</v>
      </c>
      <c r="D720" t="s">
        <v>21</v>
      </c>
      <c r="E720" t="s">
        <v>15</v>
      </c>
      <c r="F720" t="s">
        <v>16</v>
      </c>
      <c r="G720" s="6">
        <v>2025</v>
      </c>
      <c r="H720" s="2">
        <v>66142</v>
      </c>
      <c r="I720" s="2">
        <v>2819523.7496515862</v>
      </c>
      <c r="J720" s="3">
        <f>IFERROR(I720/H720,"")</f>
        <v>42.628341290731854</v>
      </c>
      <c r="K720" s="4">
        <f>IFERROR(H720/I720,"")</f>
        <v>2.3458571685439179E-2</v>
      </c>
    </row>
    <row r="721" spans="1:11">
      <c r="A721" t="s">
        <v>19</v>
      </c>
      <c r="B721" t="s">
        <v>64</v>
      </c>
      <c r="C721" t="s">
        <v>11</v>
      </c>
      <c r="D721" t="s">
        <v>21</v>
      </c>
      <c r="E721" t="s">
        <v>15</v>
      </c>
      <c r="F721" t="s">
        <v>16</v>
      </c>
      <c r="G721" s="6" t="s">
        <v>82</v>
      </c>
      <c r="H721" s="2">
        <v>23645</v>
      </c>
      <c r="I721" s="2">
        <v>993458.08861244598</v>
      </c>
      <c r="J721" s="3">
        <f>IFERROR(I721/H721,"")</f>
        <v>42.015567291708436</v>
      </c>
      <c r="K721" s="4">
        <f>IFERROR(H721/I721,"")</f>
        <v>2.3800702083995068E-2</v>
      </c>
    </row>
    <row r="722" spans="1:11">
      <c r="A722" t="s">
        <v>18</v>
      </c>
      <c r="B722" t="s">
        <v>65</v>
      </c>
      <c r="C722" t="s">
        <v>18</v>
      </c>
      <c r="D722" t="s">
        <v>21</v>
      </c>
      <c r="E722" t="s">
        <v>15</v>
      </c>
      <c r="F722" t="s">
        <v>16</v>
      </c>
      <c r="G722" s="6" t="s">
        <v>81</v>
      </c>
      <c r="H722" s="2">
        <v>23622</v>
      </c>
      <c r="I722" s="2">
        <v>979604.47589376103</v>
      </c>
      <c r="J722" s="3">
        <f>IFERROR(I722/H722,"")</f>
        <v>41.470005752847392</v>
      </c>
      <c r="K722" s="4">
        <f>IFERROR(H722/I722,"")</f>
        <v>2.411381387212223E-2</v>
      </c>
    </row>
    <row r="723" spans="1:11">
      <c r="A723" t="s">
        <v>19</v>
      </c>
      <c r="B723" t="s">
        <v>48</v>
      </c>
      <c r="C723" t="s">
        <v>43</v>
      </c>
      <c r="D723" t="s">
        <v>14</v>
      </c>
      <c r="E723" t="s">
        <v>15</v>
      </c>
      <c r="F723" t="s">
        <v>16</v>
      </c>
      <c r="G723" s="6" t="s">
        <v>81</v>
      </c>
      <c r="H723" s="2">
        <v>24932</v>
      </c>
      <c r="I723" s="2">
        <v>1033559.3792054581</v>
      </c>
      <c r="J723" s="3">
        <f>IFERROR(I723/H723,"")</f>
        <v>41.455133130332833</v>
      </c>
      <c r="K723" s="4">
        <f>IFERROR(H723/I723,"")</f>
        <v>2.4122465048081038E-2</v>
      </c>
    </row>
    <row r="724" spans="1:11">
      <c r="A724" t="s">
        <v>17</v>
      </c>
      <c r="B724" t="s">
        <v>58</v>
      </c>
      <c r="C724" t="s">
        <v>43</v>
      </c>
      <c r="D724" t="s">
        <v>21</v>
      </c>
      <c r="E724" t="s">
        <v>15</v>
      </c>
      <c r="F724" t="s">
        <v>16</v>
      </c>
      <c r="G724" s="6" t="s">
        <v>82</v>
      </c>
      <c r="H724" s="2">
        <v>45805</v>
      </c>
      <c r="I724" s="2">
        <v>1882665.193355435</v>
      </c>
      <c r="J724" s="3">
        <f>IFERROR(I724/H724,"")</f>
        <v>41.101739839655828</v>
      </c>
      <c r="K724" s="4">
        <f>IFERROR(H724/I724,"")</f>
        <v>2.4329870314520819E-2</v>
      </c>
    </row>
    <row r="725" spans="1:11">
      <c r="A725" t="s">
        <v>11</v>
      </c>
      <c r="B725" t="s">
        <v>64</v>
      </c>
      <c r="C725" t="s">
        <v>11</v>
      </c>
      <c r="D725" t="s">
        <v>21</v>
      </c>
      <c r="E725" t="s">
        <v>15</v>
      </c>
      <c r="F725" t="s">
        <v>16</v>
      </c>
      <c r="G725" s="6" t="s">
        <v>81</v>
      </c>
      <c r="H725" s="2">
        <v>97891</v>
      </c>
      <c r="I725" s="2">
        <v>4021455.3707070523</v>
      </c>
      <c r="J725" s="3">
        <f>IFERROR(I725/H725,"")</f>
        <v>41.080950962877608</v>
      </c>
      <c r="K725" s="4">
        <f>IFERROR(H725/I725,"")</f>
        <v>2.434218236339368E-2</v>
      </c>
    </row>
    <row r="726" spans="1:11">
      <c r="A726" t="s">
        <v>17</v>
      </c>
      <c r="B726" t="s">
        <v>54</v>
      </c>
      <c r="C726" t="s">
        <v>25</v>
      </c>
      <c r="D726" t="s">
        <v>21</v>
      </c>
      <c r="E726" t="s">
        <v>15</v>
      </c>
      <c r="F726" t="s">
        <v>26</v>
      </c>
      <c r="G726" s="6">
        <v>2024</v>
      </c>
      <c r="H726" s="2">
        <v>20977</v>
      </c>
      <c r="I726" s="2">
        <v>860084.92983287666</v>
      </c>
      <c r="J726" s="3">
        <f>IFERROR(I726/H726,"")</f>
        <v>41.001331450296831</v>
      </c>
      <c r="K726" s="4">
        <f>IFERROR(H726/I726,"")</f>
        <v>2.4389451869684598E-2</v>
      </c>
    </row>
    <row r="727" spans="1:11">
      <c r="A727" t="s">
        <v>13</v>
      </c>
      <c r="B727" t="s">
        <v>58</v>
      </c>
      <c r="C727" t="s">
        <v>43</v>
      </c>
      <c r="D727" t="s">
        <v>21</v>
      </c>
      <c r="E727" t="s">
        <v>15</v>
      </c>
      <c r="F727" t="s">
        <v>16</v>
      </c>
      <c r="G727" s="6" t="s">
        <v>82</v>
      </c>
      <c r="H727" s="2">
        <v>16587</v>
      </c>
      <c r="I727" s="2">
        <v>677857.33634973993</v>
      </c>
      <c r="J727" s="3">
        <f>IFERROR(I727/H727,"")</f>
        <v>40.866783405663469</v>
      </c>
      <c r="K727" s="4">
        <f>IFERROR(H727/I727,"")</f>
        <v>2.4469750654792576E-2</v>
      </c>
    </row>
    <row r="728" spans="1:11">
      <c r="A728" t="s">
        <v>19</v>
      </c>
      <c r="B728" t="s">
        <v>46</v>
      </c>
      <c r="C728" t="s">
        <v>38</v>
      </c>
      <c r="D728" t="s">
        <v>21</v>
      </c>
      <c r="E728" t="s">
        <v>15</v>
      </c>
      <c r="F728" t="s">
        <v>16</v>
      </c>
      <c r="G728" s="6" t="s">
        <v>81</v>
      </c>
      <c r="H728" s="2">
        <v>43383</v>
      </c>
      <c r="I728" s="2">
        <v>1769065.0302367799</v>
      </c>
      <c r="J728" s="3">
        <f>IFERROR(I728/H728,"")</f>
        <v>40.777839942760529</v>
      </c>
      <c r="K728" s="4">
        <f>IFERROR(H728/I728,"")</f>
        <v>2.4523123377885897E-2</v>
      </c>
    </row>
    <row r="729" spans="1:11">
      <c r="A729" t="s">
        <v>17</v>
      </c>
      <c r="B729" t="s">
        <v>22</v>
      </c>
      <c r="C729" t="s">
        <v>17</v>
      </c>
      <c r="D729" t="s">
        <v>14</v>
      </c>
      <c r="E729" t="s">
        <v>15</v>
      </c>
      <c r="F729" t="s">
        <v>16</v>
      </c>
      <c r="G729" s="6" t="s">
        <v>82</v>
      </c>
      <c r="H729" s="2">
        <v>70037</v>
      </c>
      <c r="I729" s="2">
        <v>2854828.0723766661</v>
      </c>
      <c r="J729" s="3">
        <f>IFERROR(I729/H729,"")</f>
        <v>40.761712700096609</v>
      </c>
      <c r="K729" s="4">
        <f>IFERROR(H729/I729,"")</f>
        <v>2.4532825874061713E-2</v>
      </c>
    </row>
    <row r="730" spans="1:11">
      <c r="A730" t="s">
        <v>19</v>
      </c>
      <c r="B730" t="s">
        <v>57</v>
      </c>
      <c r="C730" t="s">
        <v>25</v>
      </c>
      <c r="D730" t="s">
        <v>21</v>
      </c>
      <c r="E730" t="s">
        <v>15</v>
      </c>
      <c r="F730" t="s">
        <v>26</v>
      </c>
      <c r="G730" s="6">
        <v>2025</v>
      </c>
      <c r="H730" s="2">
        <v>18051</v>
      </c>
      <c r="I730" s="2">
        <v>724716</v>
      </c>
      <c r="J730" s="3">
        <f>IFERROR(I730/H730,"")</f>
        <v>40.148246634535482</v>
      </c>
      <c r="K730" s="4">
        <f>IFERROR(H730/I730,"")</f>
        <v>2.4907687977083436E-2</v>
      </c>
    </row>
    <row r="731" spans="1:11">
      <c r="A731" t="s">
        <v>19</v>
      </c>
      <c r="B731" t="s">
        <v>41</v>
      </c>
      <c r="C731" t="s">
        <v>38</v>
      </c>
      <c r="D731" t="s">
        <v>21</v>
      </c>
      <c r="E731" t="s">
        <v>15</v>
      </c>
      <c r="F731" t="s">
        <v>16</v>
      </c>
      <c r="G731" s="6">
        <v>2025</v>
      </c>
      <c r="H731" s="2">
        <v>87570</v>
      </c>
      <c r="I731" s="2">
        <v>3476810.4792435928</v>
      </c>
      <c r="J731" s="3">
        <f>IFERROR(I731/H731,"")</f>
        <v>39.703214334173722</v>
      </c>
      <c r="K731" s="4">
        <f>IFERROR(H731/I731,"")</f>
        <v>2.5186877606009614E-2</v>
      </c>
    </row>
    <row r="732" spans="1:11">
      <c r="A732" t="s">
        <v>17</v>
      </c>
      <c r="B732" t="s">
        <v>54</v>
      </c>
      <c r="C732" t="s">
        <v>25</v>
      </c>
      <c r="D732" t="s">
        <v>21</v>
      </c>
      <c r="E732" t="s">
        <v>15</v>
      </c>
      <c r="F732" t="s">
        <v>26</v>
      </c>
      <c r="G732" s="6" t="s">
        <v>82</v>
      </c>
      <c r="H732" s="2">
        <v>9004</v>
      </c>
      <c r="I732" s="2">
        <v>353683.85669221159</v>
      </c>
      <c r="J732" s="3">
        <f>IFERROR(I732/H732,"")</f>
        <v>39.280748188828476</v>
      </c>
      <c r="K732" s="4">
        <f>IFERROR(H732/I732,"")</f>
        <v>2.5457763563790824E-2</v>
      </c>
    </row>
    <row r="733" spans="1:11">
      <c r="A733" t="s">
        <v>19</v>
      </c>
      <c r="B733" t="s">
        <v>28</v>
      </c>
      <c r="C733" t="s">
        <v>18</v>
      </c>
      <c r="D733" t="s">
        <v>21</v>
      </c>
      <c r="E733" t="s">
        <v>15</v>
      </c>
      <c r="F733" t="s">
        <v>16</v>
      </c>
      <c r="G733" s="6" t="s">
        <v>82</v>
      </c>
      <c r="H733" s="2">
        <v>15171</v>
      </c>
      <c r="I733" s="2">
        <v>591838.42504296498</v>
      </c>
      <c r="J733" s="3">
        <f>IFERROR(I733/H733,"")</f>
        <v>39.011167691184824</v>
      </c>
      <c r="K733" s="4">
        <f>IFERROR(H733/I733,"")</f>
        <v>2.5633685408139307E-2</v>
      </c>
    </row>
    <row r="734" spans="1:11">
      <c r="A734" t="s">
        <v>19</v>
      </c>
      <c r="B734" t="s">
        <v>59</v>
      </c>
      <c r="C734" t="s">
        <v>11</v>
      </c>
      <c r="D734" t="s">
        <v>21</v>
      </c>
      <c r="E734" t="s">
        <v>15</v>
      </c>
      <c r="F734" t="s">
        <v>16</v>
      </c>
      <c r="G734" s="6">
        <v>2024</v>
      </c>
      <c r="H734" s="2">
        <v>68905</v>
      </c>
      <c r="I734" s="2">
        <v>2675441.4356176998</v>
      </c>
      <c r="J734" s="3">
        <f>IFERROR(I734/H734,"")</f>
        <v>38.827972362204484</v>
      </c>
      <c r="K734" s="4">
        <f>IFERROR(H734/I734,"")</f>
        <v>2.5754628407364623E-2</v>
      </c>
    </row>
    <row r="735" spans="1:11">
      <c r="A735" t="s">
        <v>19</v>
      </c>
      <c r="B735" t="s">
        <v>75</v>
      </c>
      <c r="C735" t="s">
        <v>17</v>
      </c>
      <c r="D735" t="s">
        <v>21</v>
      </c>
      <c r="E735" t="s">
        <v>15</v>
      </c>
      <c r="F735" t="s">
        <v>16</v>
      </c>
      <c r="G735" s="6">
        <v>2024</v>
      </c>
      <c r="H735" s="2">
        <v>166304</v>
      </c>
      <c r="I735" s="2">
        <v>6453405.8452351382</v>
      </c>
      <c r="J735" s="3">
        <f>IFERROR(I735/H735,"")</f>
        <v>38.804874478275558</v>
      </c>
      <c r="K735" s="4">
        <f>IFERROR(H735/I735,"")</f>
        <v>2.5769958373653239E-2</v>
      </c>
    </row>
    <row r="736" spans="1:11">
      <c r="A736" t="s">
        <v>19</v>
      </c>
      <c r="B736" t="s">
        <v>73</v>
      </c>
      <c r="C736" t="s">
        <v>43</v>
      </c>
      <c r="D736" t="s">
        <v>21</v>
      </c>
      <c r="E736" t="s">
        <v>15</v>
      </c>
      <c r="F736" t="s">
        <v>16</v>
      </c>
      <c r="G736" s="6" t="s">
        <v>81</v>
      </c>
      <c r="H736" s="2">
        <v>32533</v>
      </c>
      <c r="I736" s="2">
        <v>1258973.8651412111</v>
      </c>
      <c r="J736" s="3">
        <f>IFERROR(I736/H736,"")</f>
        <v>38.698363665853478</v>
      </c>
      <c r="K736" s="4">
        <f>IFERROR(H736/I736,"")</f>
        <v>2.5840885899844301E-2</v>
      </c>
    </row>
    <row r="737" spans="1:11">
      <c r="A737" t="s">
        <v>17</v>
      </c>
      <c r="B737" t="s">
        <v>58</v>
      </c>
      <c r="C737" t="s">
        <v>43</v>
      </c>
      <c r="D737" t="s">
        <v>21</v>
      </c>
      <c r="E737" t="s">
        <v>15</v>
      </c>
      <c r="F737" t="s">
        <v>16</v>
      </c>
      <c r="G737" s="6" t="s">
        <v>81</v>
      </c>
      <c r="H737" s="2">
        <v>35642</v>
      </c>
      <c r="I737" s="2">
        <v>1376111.8913983479</v>
      </c>
      <c r="J737" s="3">
        <f>IFERROR(I737/H737,"")</f>
        <v>38.609278138105267</v>
      </c>
      <c r="K737" s="4">
        <f>IFERROR(H737/I737,"")</f>
        <v>2.590051014222548E-2</v>
      </c>
    </row>
    <row r="738" spans="1:11">
      <c r="A738" t="s">
        <v>17</v>
      </c>
      <c r="B738" t="s">
        <v>27</v>
      </c>
      <c r="C738" t="s">
        <v>11</v>
      </c>
      <c r="D738" t="s">
        <v>21</v>
      </c>
      <c r="E738" t="s">
        <v>15</v>
      </c>
      <c r="F738" t="s">
        <v>16</v>
      </c>
      <c r="G738" s="6">
        <v>2025</v>
      </c>
      <c r="H738" s="2">
        <v>48854</v>
      </c>
      <c r="I738" s="2">
        <v>1873766.01883802</v>
      </c>
      <c r="J738" s="3">
        <f>IFERROR(I738/H738,"")</f>
        <v>38.3544033004057</v>
      </c>
      <c r="K738" s="4">
        <f>IFERROR(H738/I738,"")</f>
        <v>2.6072625668756587E-2</v>
      </c>
    </row>
    <row r="739" spans="1:11">
      <c r="A739" t="s">
        <v>13</v>
      </c>
      <c r="B739" t="s">
        <v>34</v>
      </c>
      <c r="C739" t="s">
        <v>13</v>
      </c>
      <c r="D739" t="s">
        <v>21</v>
      </c>
      <c r="E739" t="s">
        <v>15</v>
      </c>
      <c r="F739" t="s">
        <v>16</v>
      </c>
      <c r="G739" s="6" t="s">
        <v>81</v>
      </c>
      <c r="H739" s="2">
        <v>59516</v>
      </c>
      <c r="I739" s="2">
        <v>2280711.2452106061</v>
      </c>
      <c r="J739" s="3">
        <f>IFERROR(I739/H739,"")</f>
        <v>38.320976631672259</v>
      </c>
      <c r="K739" s="4">
        <f>IFERROR(H739/I739,"")</f>
        <v>2.6095368330813905E-2</v>
      </c>
    </row>
    <row r="740" spans="1:11">
      <c r="A740" t="s">
        <v>19</v>
      </c>
      <c r="B740" t="s">
        <v>41</v>
      </c>
      <c r="C740" t="s">
        <v>38</v>
      </c>
      <c r="D740" t="s">
        <v>21</v>
      </c>
      <c r="E740" t="s">
        <v>15</v>
      </c>
      <c r="F740" t="s">
        <v>16</v>
      </c>
      <c r="G740" s="6" t="s">
        <v>81</v>
      </c>
      <c r="H740" s="2">
        <v>31410</v>
      </c>
      <c r="I740" s="2">
        <v>1200079.644087814</v>
      </c>
      <c r="J740" s="3">
        <f>IFERROR(I740/H740,"")</f>
        <v>38.206929133645779</v>
      </c>
      <c r="K740" s="4">
        <f>IFERROR(H740/I740,"")</f>
        <v>2.617326287862743E-2</v>
      </c>
    </row>
    <row r="741" spans="1:11">
      <c r="A741" t="s">
        <v>11</v>
      </c>
      <c r="B741" t="s">
        <v>59</v>
      </c>
      <c r="C741" t="s">
        <v>11</v>
      </c>
      <c r="D741" t="s">
        <v>21</v>
      </c>
      <c r="E741" t="s">
        <v>15</v>
      </c>
      <c r="F741" t="s">
        <v>16</v>
      </c>
      <c r="G741" s="6">
        <v>2024</v>
      </c>
      <c r="H741" s="2">
        <v>232713</v>
      </c>
      <c r="I741" s="2">
        <v>8862086.8347460758</v>
      </c>
      <c r="J741" s="3">
        <f>IFERROR(I741/H741,"")</f>
        <v>38.081614842084782</v>
      </c>
      <c r="K741" s="4">
        <f>IFERROR(H741/I741,"")</f>
        <v>2.625939063106324E-2</v>
      </c>
    </row>
    <row r="742" spans="1:11">
      <c r="A742" t="s">
        <v>11</v>
      </c>
      <c r="B742" t="s">
        <v>58</v>
      </c>
      <c r="C742" t="s">
        <v>43</v>
      </c>
      <c r="D742" t="s">
        <v>21</v>
      </c>
      <c r="E742" t="s">
        <v>15</v>
      </c>
      <c r="F742" t="s">
        <v>16</v>
      </c>
      <c r="G742" s="6">
        <v>2024</v>
      </c>
      <c r="H742" s="2">
        <v>40007</v>
      </c>
      <c r="I742" s="2">
        <v>1514810.9098304997</v>
      </c>
      <c r="J742" s="3">
        <f>IFERROR(I742/H742,"")</f>
        <v>37.863646607606164</v>
      </c>
      <c r="K742" s="4">
        <f>IFERROR(H742/I742,"")</f>
        <v>2.6410557080339882E-2</v>
      </c>
    </row>
    <row r="743" spans="1:11">
      <c r="A743" t="s">
        <v>19</v>
      </c>
      <c r="B743" t="s">
        <v>75</v>
      </c>
      <c r="C743" t="s">
        <v>17</v>
      </c>
      <c r="D743" t="s">
        <v>21</v>
      </c>
      <c r="E743" t="s">
        <v>15</v>
      </c>
      <c r="F743" t="s">
        <v>16</v>
      </c>
      <c r="G743" s="6">
        <v>2025</v>
      </c>
      <c r="H743" s="2">
        <v>167011</v>
      </c>
      <c r="I743" s="2">
        <v>6232439.7077243542</v>
      </c>
      <c r="J743" s="3">
        <f>IFERROR(I743/H743,"")</f>
        <v>37.31754020827583</v>
      </c>
      <c r="K743" s="4">
        <f>IFERROR(H743/I743,"")</f>
        <v>2.679705024550981E-2</v>
      </c>
    </row>
    <row r="744" spans="1:11">
      <c r="A744" t="s">
        <v>19</v>
      </c>
      <c r="B744" t="s">
        <v>41</v>
      </c>
      <c r="C744" t="s">
        <v>38</v>
      </c>
      <c r="D744" t="s">
        <v>21</v>
      </c>
      <c r="E744" t="s">
        <v>15</v>
      </c>
      <c r="F744" t="s">
        <v>16</v>
      </c>
      <c r="G744" s="6" t="s">
        <v>82</v>
      </c>
      <c r="H744" s="2">
        <v>30278</v>
      </c>
      <c r="I744" s="2">
        <v>1128066.8805018701</v>
      </c>
      <c r="J744" s="3">
        <f>IFERROR(I744/H744,"")</f>
        <v>37.256981323134625</v>
      </c>
      <c r="K744" s="4">
        <f>IFERROR(H744/I744,"")</f>
        <v>2.6840607169079819E-2</v>
      </c>
    </row>
    <row r="745" spans="1:11">
      <c r="A745" t="s">
        <v>19</v>
      </c>
      <c r="B745" t="s">
        <v>48</v>
      </c>
      <c r="C745" t="s">
        <v>43</v>
      </c>
      <c r="D745" t="s">
        <v>14</v>
      </c>
      <c r="E745" t="s">
        <v>15</v>
      </c>
      <c r="F745" t="s">
        <v>16</v>
      </c>
      <c r="G745" s="6" t="s">
        <v>82</v>
      </c>
      <c r="H745" s="2">
        <v>25313</v>
      </c>
      <c r="I745" s="2">
        <v>942999.70636328997</v>
      </c>
      <c r="J745" s="3">
        <f>IFERROR(I745/H745,"")</f>
        <v>37.253573514134636</v>
      </c>
      <c r="K745" s="4">
        <f>IFERROR(H745/I745,"")</f>
        <v>2.6843062441260383E-2</v>
      </c>
    </row>
    <row r="746" spans="1:11">
      <c r="A746" t="s">
        <v>11</v>
      </c>
      <c r="B746" t="s">
        <v>59</v>
      </c>
      <c r="C746" t="s">
        <v>11</v>
      </c>
      <c r="D746" t="s">
        <v>21</v>
      </c>
      <c r="E746" t="s">
        <v>15</v>
      </c>
      <c r="F746" t="s">
        <v>16</v>
      </c>
      <c r="G746" s="6" t="s">
        <v>81</v>
      </c>
      <c r="H746" s="2">
        <v>83253</v>
      </c>
      <c r="I746" s="2">
        <v>3071751.8597928849</v>
      </c>
      <c r="J746" s="3">
        <f>IFERROR(I746/H746,"")</f>
        <v>36.896590630882791</v>
      </c>
      <c r="K746" s="4">
        <f>IFERROR(H746/I746,"")</f>
        <v>2.7102775158932724E-2</v>
      </c>
    </row>
    <row r="747" spans="1:11">
      <c r="A747" t="s">
        <v>19</v>
      </c>
      <c r="B747" t="s">
        <v>59</v>
      </c>
      <c r="C747" t="s">
        <v>11</v>
      </c>
      <c r="D747" t="s">
        <v>21</v>
      </c>
      <c r="E747" t="s">
        <v>15</v>
      </c>
      <c r="F747" t="s">
        <v>16</v>
      </c>
      <c r="G747" s="6">
        <v>2025</v>
      </c>
      <c r="H747" s="2">
        <v>79984</v>
      </c>
      <c r="I747" s="2">
        <v>2937826.1572915278</v>
      </c>
      <c r="J747" s="3">
        <f>IFERROR(I747/H747,"")</f>
        <v>36.730173000744244</v>
      </c>
      <c r="K747" s="4">
        <f>IFERROR(H747/I747,"")</f>
        <v>2.7225572827542562E-2</v>
      </c>
    </row>
    <row r="748" spans="1:11">
      <c r="A748" t="s">
        <v>19</v>
      </c>
      <c r="B748" t="s">
        <v>52</v>
      </c>
      <c r="C748" t="s">
        <v>40</v>
      </c>
      <c r="D748" t="s">
        <v>21</v>
      </c>
      <c r="E748" t="s">
        <v>15</v>
      </c>
      <c r="F748" t="s">
        <v>16</v>
      </c>
      <c r="G748" s="6" t="s">
        <v>81</v>
      </c>
      <c r="H748" s="2">
        <v>12537</v>
      </c>
      <c r="I748" s="2">
        <v>453689.18841117003</v>
      </c>
      <c r="J748" s="3">
        <f>IFERROR(I748/H748,"")</f>
        <v>36.188018538021062</v>
      </c>
      <c r="K748" s="4">
        <f>IFERROR(H748/I748,"")</f>
        <v>2.7633455502664418E-2</v>
      </c>
    </row>
    <row r="749" spans="1:11">
      <c r="A749" t="s">
        <v>17</v>
      </c>
      <c r="B749" t="s">
        <v>54</v>
      </c>
      <c r="C749" t="s">
        <v>25</v>
      </c>
      <c r="D749" t="s">
        <v>21</v>
      </c>
      <c r="E749" t="s">
        <v>15</v>
      </c>
      <c r="F749" t="s">
        <v>26</v>
      </c>
      <c r="G749" s="6" t="s">
        <v>81</v>
      </c>
      <c r="H749" s="2">
        <v>7245</v>
      </c>
      <c r="I749" s="2">
        <v>262021.32708327589</v>
      </c>
      <c r="J749" s="3">
        <f>IFERROR(I749/H749,"")</f>
        <v>36.165814642274107</v>
      </c>
      <c r="K749" s="4">
        <f>IFERROR(H749/I749,"")</f>
        <v>2.7650420981561501E-2</v>
      </c>
    </row>
    <row r="750" spans="1:11">
      <c r="A750" t="s">
        <v>19</v>
      </c>
      <c r="B750" t="s">
        <v>41</v>
      </c>
      <c r="C750" t="s">
        <v>38</v>
      </c>
      <c r="D750" t="s">
        <v>21</v>
      </c>
      <c r="E750" t="s">
        <v>15</v>
      </c>
      <c r="F750" t="s">
        <v>16</v>
      </c>
      <c r="G750" s="6">
        <v>2024</v>
      </c>
      <c r="H750" s="2">
        <v>91808</v>
      </c>
      <c r="I750" s="2">
        <v>3319542.2423946839</v>
      </c>
      <c r="J750" s="3">
        <f>IFERROR(I750/H750,"")</f>
        <v>36.157439900604345</v>
      </c>
      <c r="K750" s="4">
        <f>IFERROR(H750/I750,"")</f>
        <v>2.7656825337993182E-2</v>
      </c>
    </row>
    <row r="751" spans="1:11">
      <c r="A751" t="s">
        <v>17</v>
      </c>
      <c r="B751" t="s">
        <v>34</v>
      </c>
      <c r="C751" t="s">
        <v>13</v>
      </c>
      <c r="D751" t="s">
        <v>21</v>
      </c>
      <c r="E751" t="s">
        <v>15</v>
      </c>
      <c r="F751" t="s">
        <v>16</v>
      </c>
      <c r="G751" s="6">
        <v>2025</v>
      </c>
      <c r="H751" s="2">
        <v>54243</v>
      </c>
      <c r="I751" s="2">
        <v>1954973.938596416</v>
      </c>
      <c r="J751" s="3">
        <f>IFERROR(I751/H751,"")</f>
        <v>36.041036421223311</v>
      </c>
      <c r="K751" s="4">
        <f>IFERROR(H751/I751,"")</f>
        <v>2.7746149925120766E-2</v>
      </c>
    </row>
    <row r="752" spans="1:11">
      <c r="A752" t="s">
        <v>19</v>
      </c>
      <c r="B752" t="s">
        <v>73</v>
      </c>
      <c r="C752" t="s">
        <v>43</v>
      </c>
      <c r="D752" t="s">
        <v>21</v>
      </c>
      <c r="E752" t="s">
        <v>15</v>
      </c>
      <c r="F752" t="s">
        <v>16</v>
      </c>
      <c r="G752" s="6" t="s">
        <v>82</v>
      </c>
      <c r="H752" s="2">
        <v>33729</v>
      </c>
      <c r="I752" s="2">
        <v>1205063.508924687</v>
      </c>
      <c r="J752" s="3">
        <f>IFERROR(I752/H752,"")</f>
        <v>35.727816090743488</v>
      </c>
      <c r="K752" s="4">
        <f>IFERROR(H752/I752,"")</f>
        <v>2.7989396202111671E-2</v>
      </c>
    </row>
    <row r="753" spans="1:11">
      <c r="A753" t="s">
        <v>11</v>
      </c>
      <c r="B753" t="s">
        <v>65</v>
      </c>
      <c r="C753" t="s">
        <v>18</v>
      </c>
      <c r="D753" t="s">
        <v>21</v>
      </c>
      <c r="E753" t="s">
        <v>15</v>
      </c>
      <c r="F753" t="s">
        <v>16</v>
      </c>
      <c r="G753" s="6" t="s">
        <v>82</v>
      </c>
      <c r="H753" s="2">
        <v>10115</v>
      </c>
      <c r="I753" s="2">
        <v>354131.68882199307</v>
      </c>
      <c r="J753" s="3">
        <f>IFERROR(I753/H753,"")</f>
        <v>35.01054758497213</v>
      </c>
      <c r="K753" s="4">
        <f>IFERROR(H753/I753,"")</f>
        <v>2.8562820891988517E-2</v>
      </c>
    </row>
    <row r="754" spans="1:11">
      <c r="A754" t="s">
        <v>13</v>
      </c>
      <c r="B754" t="s">
        <v>34</v>
      </c>
      <c r="C754" t="s">
        <v>13</v>
      </c>
      <c r="D754" t="s">
        <v>21</v>
      </c>
      <c r="E754" t="s">
        <v>15</v>
      </c>
      <c r="F754" t="s">
        <v>16</v>
      </c>
      <c r="G754" s="6">
        <v>2024</v>
      </c>
      <c r="H754" s="2">
        <v>143868</v>
      </c>
      <c r="I754" s="2">
        <v>5024815.3365178891</v>
      </c>
      <c r="J754" s="3">
        <f>IFERROR(I754/H754,"")</f>
        <v>34.926566967761346</v>
      </c>
      <c r="K754" s="4">
        <f>IFERROR(H754/I754,"")</f>
        <v>2.8631499938801343E-2</v>
      </c>
    </row>
    <row r="755" spans="1:11">
      <c r="A755" t="s">
        <v>18</v>
      </c>
      <c r="B755" t="s">
        <v>65</v>
      </c>
      <c r="C755" t="s">
        <v>18</v>
      </c>
      <c r="D755" t="s">
        <v>21</v>
      </c>
      <c r="E755" t="s">
        <v>15</v>
      </c>
      <c r="F755" t="s">
        <v>16</v>
      </c>
      <c r="G755" s="6" t="s">
        <v>82</v>
      </c>
      <c r="H755" s="2">
        <v>25023</v>
      </c>
      <c r="I755" s="2">
        <v>869377.06426481693</v>
      </c>
      <c r="J755" s="3">
        <f>IFERROR(I755/H755,"")</f>
        <v>34.743118901203573</v>
      </c>
      <c r="K755" s="4">
        <f>IFERROR(H755/I755,"")</f>
        <v>2.8782677883457321E-2</v>
      </c>
    </row>
    <row r="756" spans="1:11">
      <c r="A756" t="s">
        <v>19</v>
      </c>
      <c r="B756" t="s">
        <v>75</v>
      </c>
      <c r="C756" t="s">
        <v>17</v>
      </c>
      <c r="D756" t="s">
        <v>21</v>
      </c>
      <c r="E756" t="s">
        <v>15</v>
      </c>
      <c r="F756" t="s">
        <v>16</v>
      </c>
      <c r="G756" s="6" t="s">
        <v>81</v>
      </c>
      <c r="H756" s="2">
        <v>63630</v>
      </c>
      <c r="I756" s="2">
        <v>2164251.9716573642</v>
      </c>
      <c r="J756" s="3">
        <f>IFERROR(I756/H756,"")</f>
        <v>34.013075147844795</v>
      </c>
      <c r="K756" s="4">
        <f>IFERROR(H756/I756,"")</f>
        <v>2.94004583723552E-2</v>
      </c>
    </row>
    <row r="757" spans="1:11">
      <c r="A757" t="s">
        <v>13</v>
      </c>
      <c r="B757" t="s">
        <v>59</v>
      </c>
      <c r="C757" t="s">
        <v>11</v>
      </c>
      <c r="D757" t="s">
        <v>21</v>
      </c>
      <c r="E757" t="s">
        <v>15</v>
      </c>
      <c r="F757" t="s">
        <v>16</v>
      </c>
      <c r="G757" s="6" t="s">
        <v>81</v>
      </c>
      <c r="H757" s="2">
        <v>34425</v>
      </c>
      <c r="I757" s="2">
        <v>1166898.3983466751</v>
      </c>
      <c r="J757" s="3">
        <f>IFERROR(I757/H757,"")</f>
        <v>33.896830743549025</v>
      </c>
      <c r="K757" s="4">
        <f>IFERROR(H757/I757,"")</f>
        <v>2.950128310123247E-2</v>
      </c>
    </row>
    <row r="758" spans="1:11">
      <c r="A758" t="s">
        <v>17</v>
      </c>
      <c r="B758" t="s">
        <v>66</v>
      </c>
      <c r="C758" t="s">
        <v>67</v>
      </c>
      <c r="D758" t="s">
        <v>21</v>
      </c>
      <c r="E758" t="s">
        <v>15</v>
      </c>
      <c r="F758" t="s">
        <v>16</v>
      </c>
      <c r="G758" s="6" t="s">
        <v>81</v>
      </c>
      <c r="H758" s="2">
        <v>69005</v>
      </c>
      <c r="I758" s="2">
        <v>2337964.5284194541</v>
      </c>
      <c r="J758" s="3">
        <f>IFERROR(I758/H758,"")</f>
        <v>33.881088738779134</v>
      </c>
      <c r="K758" s="4">
        <f>IFERROR(H758/I758,"")</f>
        <v>2.9514990138301968E-2</v>
      </c>
    </row>
    <row r="759" spans="1:11">
      <c r="A759" t="s">
        <v>17</v>
      </c>
      <c r="B759" t="s">
        <v>58</v>
      </c>
      <c r="C759" t="s">
        <v>43</v>
      </c>
      <c r="D759" t="s">
        <v>21</v>
      </c>
      <c r="E759" t="s">
        <v>15</v>
      </c>
      <c r="F759" t="s">
        <v>16</v>
      </c>
      <c r="G759" s="6">
        <v>2025</v>
      </c>
      <c r="H759" s="2">
        <v>136189</v>
      </c>
      <c r="I759" s="2">
        <v>4579414.7761649815</v>
      </c>
      <c r="J759" s="3">
        <f>IFERROR(I759/H759,"")</f>
        <v>33.625438002812132</v>
      </c>
      <c r="K759" s="4">
        <f>IFERROR(H759/I759,"")</f>
        <v>2.9739389563233909E-2</v>
      </c>
    </row>
    <row r="760" spans="1:11">
      <c r="A760" t="s">
        <v>19</v>
      </c>
      <c r="B760" t="s">
        <v>57</v>
      </c>
      <c r="C760" t="s">
        <v>25</v>
      </c>
      <c r="D760" t="s">
        <v>21</v>
      </c>
      <c r="E760" t="s">
        <v>15</v>
      </c>
      <c r="F760" t="s">
        <v>26</v>
      </c>
      <c r="G760" s="6" t="s">
        <v>81</v>
      </c>
      <c r="H760" s="2">
        <v>4104</v>
      </c>
      <c r="I760" s="2">
        <f>196000*70%</f>
        <v>137200</v>
      </c>
      <c r="J760" s="3">
        <f>IFERROR(I760/H760,"")</f>
        <v>33.430799220272903</v>
      </c>
      <c r="K760" s="4">
        <f>IFERROR(H760/I760,"")</f>
        <v>2.9912536443148688E-2</v>
      </c>
    </row>
    <row r="761" spans="1:11">
      <c r="A761" t="s">
        <v>17</v>
      </c>
      <c r="B761" t="s">
        <v>27</v>
      </c>
      <c r="C761" t="s">
        <v>11</v>
      </c>
      <c r="D761" t="s">
        <v>21</v>
      </c>
      <c r="E761" t="s">
        <v>15</v>
      </c>
      <c r="F761" t="s">
        <v>16</v>
      </c>
      <c r="G761" s="6" t="s">
        <v>81</v>
      </c>
      <c r="H761" s="2">
        <v>16254</v>
      </c>
      <c r="I761" s="2">
        <v>542352.380679311</v>
      </c>
      <c r="J761" s="3">
        <f>IFERROR(I761/H761,"")</f>
        <v>33.367317625157561</v>
      </c>
      <c r="K761" s="4">
        <f>IFERROR(H761/I761,"")</f>
        <v>2.9969445288764891E-2</v>
      </c>
    </row>
    <row r="762" spans="1:11">
      <c r="A762" t="s">
        <v>13</v>
      </c>
      <c r="B762" t="s">
        <v>27</v>
      </c>
      <c r="C762" t="s">
        <v>11</v>
      </c>
      <c r="D762" t="s">
        <v>21</v>
      </c>
      <c r="E762" t="s">
        <v>15</v>
      </c>
      <c r="F762" t="s">
        <v>16</v>
      </c>
      <c r="G762" s="6" t="s">
        <v>82</v>
      </c>
      <c r="H762" s="2">
        <v>23898</v>
      </c>
      <c r="I762" s="2">
        <v>793231.46802537702</v>
      </c>
      <c r="J762" s="3">
        <f>IFERROR(I762/H762,"")</f>
        <v>33.192378777528539</v>
      </c>
      <c r="K762" s="4">
        <f>IFERROR(H762/I762,"")</f>
        <v>3.0127397819315279E-2</v>
      </c>
    </row>
    <row r="763" spans="1:11">
      <c r="A763" t="s">
        <v>13</v>
      </c>
      <c r="B763" t="s">
        <v>44</v>
      </c>
      <c r="C763" t="s">
        <v>36</v>
      </c>
      <c r="D763" t="s">
        <v>21</v>
      </c>
      <c r="E763" t="s">
        <v>15</v>
      </c>
      <c r="F763" t="s">
        <v>16</v>
      </c>
      <c r="G763" s="6">
        <v>2024</v>
      </c>
      <c r="H763" s="2">
        <v>68441</v>
      </c>
      <c r="I763" s="2">
        <v>2263381.9680016721</v>
      </c>
      <c r="J763" s="3">
        <f>IFERROR(I763/H763,"")</f>
        <v>33.070556654661274</v>
      </c>
      <c r="K763" s="4">
        <f>IFERROR(H763/I763,"")</f>
        <v>3.023837821789585E-2</v>
      </c>
    </row>
    <row r="764" spans="1:11">
      <c r="A764" t="s">
        <v>13</v>
      </c>
      <c r="B764" t="s">
        <v>54</v>
      </c>
      <c r="C764" t="s">
        <v>25</v>
      </c>
      <c r="D764" t="s">
        <v>21</v>
      </c>
      <c r="E764" t="s">
        <v>15</v>
      </c>
      <c r="F764" t="s">
        <v>26</v>
      </c>
      <c r="G764" s="6" t="s">
        <v>81</v>
      </c>
      <c r="H764" s="2">
        <v>20844</v>
      </c>
      <c r="I764" s="2">
        <v>688805.90523791593</v>
      </c>
      <c r="J764" s="3">
        <f>IFERROR(I764/H764,"")</f>
        <v>33.045764020241599</v>
      </c>
      <c r="K764" s="4">
        <f>IFERROR(H764/I764,"")</f>
        <v>3.0261064606872688E-2</v>
      </c>
    </row>
    <row r="765" spans="1:11">
      <c r="A765" t="s">
        <v>17</v>
      </c>
      <c r="B765" t="s">
        <v>27</v>
      </c>
      <c r="C765" t="s">
        <v>11</v>
      </c>
      <c r="D765" t="s">
        <v>21</v>
      </c>
      <c r="E765" t="s">
        <v>15</v>
      </c>
      <c r="F765" t="s">
        <v>16</v>
      </c>
      <c r="G765" s="6">
        <v>2024</v>
      </c>
      <c r="H765" s="2">
        <v>53025</v>
      </c>
      <c r="I765" s="2">
        <v>1740339.5409565431</v>
      </c>
      <c r="J765" s="3">
        <f>IFERROR(I765/H765,"")</f>
        <v>32.821113455097468</v>
      </c>
      <c r="K765" s="4">
        <f>IFERROR(H765/I765,"")</f>
        <v>3.0468192414254899E-2</v>
      </c>
    </row>
    <row r="766" spans="1:11">
      <c r="A766" t="s">
        <v>13</v>
      </c>
      <c r="B766" t="s">
        <v>44</v>
      </c>
      <c r="C766" t="s">
        <v>36</v>
      </c>
      <c r="D766" t="s">
        <v>21</v>
      </c>
      <c r="E766" t="s">
        <v>15</v>
      </c>
      <c r="F766" t="s">
        <v>16</v>
      </c>
      <c r="G766" s="6">
        <v>2025</v>
      </c>
      <c r="H766" s="2">
        <v>62495</v>
      </c>
      <c r="I766" s="2">
        <v>2049809.668195083</v>
      </c>
      <c r="J766" s="3">
        <f>IFERROR(I766/H766,"")</f>
        <v>32.799578657413925</v>
      </c>
      <c r="K766" s="4">
        <f>IFERROR(H766/I766,"")</f>
        <v>3.0488196523645369E-2</v>
      </c>
    </row>
    <row r="767" spans="1:11">
      <c r="A767" t="s">
        <v>17</v>
      </c>
      <c r="B767" t="s">
        <v>34</v>
      </c>
      <c r="C767" t="s">
        <v>13</v>
      </c>
      <c r="D767" t="s">
        <v>21</v>
      </c>
      <c r="E767" t="s">
        <v>15</v>
      </c>
      <c r="F767" t="s">
        <v>16</v>
      </c>
      <c r="G767" s="6">
        <v>2024</v>
      </c>
      <c r="H767" s="2">
        <v>57561</v>
      </c>
      <c r="I767" s="2">
        <v>1878373.6148707706</v>
      </c>
      <c r="J767" s="3">
        <f>IFERROR(I767/H767,"")</f>
        <v>32.632748125827739</v>
      </c>
      <c r="K767" s="4">
        <f>IFERROR(H767/I767,"")</f>
        <v>3.0644063323877192E-2</v>
      </c>
    </row>
    <row r="768" spans="1:11">
      <c r="A768" t="s">
        <v>19</v>
      </c>
      <c r="B768" t="s">
        <v>59</v>
      </c>
      <c r="C768" t="s">
        <v>11</v>
      </c>
      <c r="D768" t="s">
        <v>21</v>
      </c>
      <c r="E768" t="s">
        <v>15</v>
      </c>
      <c r="F768" t="s">
        <v>16</v>
      </c>
      <c r="G768" s="6" t="s">
        <v>82</v>
      </c>
      <c r="H768" s="2">
        <v>30386</v>
      </c>
      <c r="I768" s="2">
        <v>987986.82010791299</v>
      </c>
      <c r="J768" s="3">
        <f>IFERROR(I768/H768,"")</f>
        <v>32.514540252350194</v>
      </c>
      <c r="K768" s="4">
        <f>IFERROR(H768/I768,"")</f>
        <v>3.0755471005859254E-2</v>
      </c>
    </row>
    <row r="769" spans="1:11">
      <c r="A769" t="s">
        <v>17</v>
      </c>
      <c r="B769" t="s">
        <v>54</v>
      </c>
      <c r="C769" t="s">
        <v>25</v>
      </c>
      <c r="D769" t="s">
        <v>21</v>
      </c>
      <c r="E769" t="s">
        <v>15</v>
      </c>
      <c r="F769" t="s">
        <v>26</v>
      </c>
      <c r="G769" s="6">
        <v>2025</v>
      </c>
      <c r="H769" s="2">
        <v>26479</v>
      </c>
      <c r="I769" s="2">
        <v>819254.06647270976</v>
      </c>
      <c r="J769" s="3">
        <f>IFERROR(I769/H769,"")</f>
        <v>30.939766096631661</v>
      </c>
      <c r="K769" s="4">
        <f>IFERROR(H769/I769,"")</f>
        <v>3.2320864898486339E-2</v>
      </c>
    </row>
    <row r="770" spans="1:11">
      <c r="A770" t="s">
        <v>19</v>
      </c>
      <c r="B770" t="s">
        <v>75</v>
      </c>
      <c r="C770" t="s">
        <v>17</v>
      </c>
      <c r="D770" t="s">
        <v>21</v>
      </c>
      <c r="E770" t="s">
        <v>15</v>
      </c>
      <c r="F770" t="s">
        <v>16</v>
      </c>
      <c r="G770" s="6" t="s">
        <v>82</v>
      </c>
      <c r="H770" s="2">
        <v>59878</v>
      </c>
      <c r="I770" s="2">
        <v>1829300.0185121601</v>
      </c>
      <c r="J770" s="3">
        <f>IFERROR(I770/H770,"")</f>
        <v>30.550452896091386</v>
      </c>
      <c r="K770" s="4">
        <f>IFERROR(H770/I770,"")</f>
        <v>3.2732738967936534E-2</v>
      </c>
    </row>
    <row r="771" spans="1:11">
      <c r="A771" t="s">
        <v>13</v>
      </c>
      <c r="B771" t="s">
        <v>54</v>
      </c>
      <c r="C771" t="s">
        <v>25</v>
      </c>
      <c r="D771" t="s">
        <v>21</v>
      </c>
      <c r="E771" t="s">
        <v>15</v>
      </c>
      <c r="F771" t="s">
        <v>26</v>
      </c>
      <c r="G771" s="6" t="s">
        <v>82</v>
      </c>
      <c r="H771" s="2">
        <v>21500</v>
      </c>
      <c r="I771" s="2">
        <v>650957.16765741806</v>
      </c>
      <c r="J771" s="3">
        <f>IFERROR(I771/H771,"")</f>
        <v>30.277077565461305</v>
      </c>
      <c r="K771" s="4">
        <f>IFERROR(H771/I771,"")</f>
        <v>3.3028286757132527E-2</v>
      </c>
    </row>
    <row r="772" spans="1:11">
      <c r="A772" t="s">
        <v>17</v>
      </c>
      <c r="B772" t="s">
        <v>77</v>
      </c>
      <c r="C772" t="s">
        <v>25</v>
      </c>
      <c r="D772" t="s">
        <v>14</v>
      </c>
      <c r="E772" t="s">
        <v>15</v>
      </c>
      <c r="F772" t="s">
        <v>26</v>
      </c>
      <c r="G772" s="6">
        <v>2025</v>
      </c>
      <c r="H772" s="2">
        <v>2386</v>
      </c>
      <c r="I772" s="2">
        <v>71987</v>
      </c>
      <c r="J772" s="3">
        <f>IFERROR(I772/H772,"")</f>
        <v>30.170578373847444</v>
      </c>
      <c r="K772" s="4">
        <f>IFERROR(H772/I772,"")</f>
        <v>3.3144873379915819E-2</v>
      </c>
    </row>
    <row r="773" spans="1:11">
      <c r="A773" t="s">
        <v>19</v>
      </c>
      <c r="B773" t="s">
        <v>24</v>
      </c>
      <c r="C773" t="s">
        <v>25</v>
      </c>
      <c r="D773" t="s">
        <v>14</v>
      </c>
      <c r="E773" t="s">
        <v>15</v>
      </c>
      <c r="F773" t="s">
        <v>26</v>
      </c>
      <c r="G773" s="6" t="s">
        <v>82</v>
      </c>
      <c r="H773" s="2">
        <v>26396</v>
      </c>
      <c r="I773" s="2">
        <v>790533.18685951701</v>
      </c>
      <c r="J773" s="3">
        <f>IFERROR(I773/H773,"")</f>
        <v>29.948976619924117</v>
      </c>
      <c r="K773" s="4">
        <f>IFERROR(H773/I773,"")</f>
        <v>3.339012256381179E-2</v>
      </c>
    </row>
    <row r="774" spans="1:11">
      <c r="A774" t="s">
        <v>17</v>
      </c>
      <c r="B774" t="s">
        <v>34</v>
      </c>
      <c r="C774" t="s">
        <v>13</v>
      </c>
      <c r="D774" t="s">
        <v>21</v>
      </c>
      <c r="E774" t="s">
        <v>15</v>
      </c>
      <c r="F774" t="s">
        <v>16</v>
      </c>
      <c r="G774" s="6" t="s">
        <v>81</v>
      </c>
      <c r="H774" s="2">
        <v>17085</v>
      </c>
      <c r="I774" s="2">
        <v>510319.410622122</v>
      </c>
      <c r="J774" s="3">
        <f>IFERROR(I774/H774,"")</f>
        <v>29.869441651865497</v>
      </c>
      <c r="K774" s="4">
        <f>IFERROR(H774/I774,"")</f>
        <v>3.3479032238205399E-2</v>
      </c>
    </row>
    <row r="775" spans="1:11">
      <c r="A775" t="s">
        <v>17</v>
      </c>
      <c r="B775" t="s">
        <v>66</v>
      </c>
      <c r="C775" t="s">
        <v>67</v>
      </c>
      <c r="D775" t="s">
        <v>21</v>
      </c>
      <c r="E775" t="s">
        <v>15</v>
      </c>
      <c r="F775" t="s">
        <v>16</v>
      </c>
      <c r="G775" s="6">
        <v>2025</v>
      </c>
      <c r="H775" s="2">
        <v>226472</v>
      </c>
      <c r="I775" s="2">
        <v>6735147.9834297355</v>
      </c>
      <c r="J775" s="3">
        <f>IFERROR(I775/H775,"")</f>
        <v>29.73942908363831</v>
      </c>
      <c r="K775" s="4">
        <f>IFERROR(H775/I775,"")</f>
        <v>3.3625393318332669E-2</v>
      </c>
    </row>
    <row r="776" spans="1:11">
      <c r="A776" t="s">
        <v>11</v>
      </c>
      <c r="B776" t="s">
        <v>65</v>
      </c>
      <c r="C776" t="s">
        <v>18</v>
      </c>
      <c r="D776" t="s">
        <v>21</v>
      </c>
      <c r="E776" t="s">
        <v>15</v>
      </c>
      <c r="F776" t="s">
        <v>16</v>
      </c>
      <c r="G776" s="6">
        <v>2025</v>
      </c>
      <c r="H776" s="2">
        <v>38555</v>
      </c>
      <c r="I776" s="2">
        <v>1141842.8608995923</v>
      </c>
      <c r="J776" s="3">
        <f>IFERROR(I776/H776,"")</f>
        <v>29.615947630646929</v>
      </c>
      <c r="K776" s="4">
        <f>IFERROR(H776/I776,"")</f>
        <v>3.3765591851776112E-2</v>
      </c>
    </row>
    <row r="777" spans="1:11">
      <c r="A777" t="s">
        <v>11</v>
      </c>
      <c r="B777" t="s">
        <v>65</v>
      </c>
      <c r="C777" t="s">
        <v>18</v>
      </c>
      <c r="D777" t="s">
        <v>21</v>
      </c>
      <c r="E777" t="s">
        <v>15</v>
      </c>
      <c r="F777" t="s">
        <v>16</v>
      </c>
      <c r="G777" s="6" t="s">
        <v>81</v>
      </c>
      <c r="H777" s="2">
        <v>12395</v>
      </c>
      <c r="I777" s="2">
        <v>362721.06271223217</v>
      </c>
      <c r="J777" s="3">
        <f>IFERROR(I777/H777,"")</f>
        <v>29.263498403568551</v>
      </c>
      <c r="K777" s="4">
        <f>IFERROR(H777/I777,"")</f>
        <v>3.4172264238853091E-2</v>
      </c>
    </row>
    <row r="778" spans="1:11">
      <c r="A778" t="s">
        <v>13</v>
      </c>
      <c r="B778" t="s">
        <v>59</v>
      </c>
      <c r="C778" t="s">
        <v>11</v>
      </c>
      <c r="D778" t="s">
        <v>21</v>
      </c>
      <c r="E778" t="s">
        <v>15</v>
      </c>
      <c r="F778" t="s">
        <v>16</v>
      </c>
      <c r="G778" s="6" t="s">
        <v>82</v>
      </c>
      <c r="H778" s="2">
        <v>30550</v>
      </c>
      <c r="I778" s="2">
        <v>886521.49939681101</v>
      </c>
      <c r="J778" s="3">
        <f>IFERROR(I778/H778,"")</f>
        <v>29.018707017898887</v>
      </c>
      <c r="K778" s="4">
        <f>IFERROR(H778/I778,"")</f>
        <v>3.446052918151022E-2</v>
      </c>
    </row>
    <row r="779" spans="1:11">
      <c r="A779" t="s">
        <v>13</v>
      </c>
      <c r="B779" t="s">
        <v>44</v>
      </c>
      <c r="C779" t="s">
        <v>36</v>
      </c>
      <c r="D779" t="s">
        <v>21</v>
      </c>
      <c r="E779" t="s">
        <v>15</v>
      </c>
      <c r="F779" t="s">
        <v>16</v>
      </c>
      <c r="G779" s="6" t="s">
        <v>82</v>
      </c>
      <c r="H779" s="2">
        <v>25971</v>
      </c>
      <c r="I779" s="2">
        <v>735998.31189446396</v>
      </c>
      <c r="J779" s="3">
        <f>IFERROR(I779/H779,"")</f>
        <v>28.33923652899249</v>
      </c>
      <c r="K779" s="4">
        <f>IFERROR(H779/I779,"")</f>
        <v>3.528676571709858E-2</v>
      </c>
    </row>
    <row r="780" spans="1:11">
      <c r="A780" t="s">
        <v>17</v>
      </c>
      <c r="B780" t="s">
        <v>66</v>
      </c>
      <c r="C780" t="s">
        <v>67</v>
      </c>
      <c r="D780" t="s">
        <v>21</v>
      </c>
      <c r="E780" t="s">
        <v>15</v>
      </c>
      <c r="F780" t="s">
        <v>16</v>
      </c>
      <c r="G780" s="6" t="s">
        <v>82</v>
      </c>
      <c r="H780" s="2">
        <v>83630</v>
      </c>
      <c r="I780" s="2">
        <v>2365052.7373847859</v>
      </c>
      <c r="J780" s="3">
        <f>IFERROR(I780/H780,"")</f>
        <v>28.279956204529306</v>
      </c>
      <c r="K780" s="4">
        <f>IFERROR(H780/I780,"")</f>
        <v>3.5360733685996314E-2</v>
      </c>
    </row>
    <row r="781" spans="1:11">
      <c r="A781" t="s">
        <v>17</v>
      </c>
      <c r="B781" t="s">
        <v>66</v>
      </c>
      <c r="C781" t="s">
        <v>67</v>
      </c>
      <c r="D781" t="s">
        <v>21</v>
      </c>
      <c r="E781" t="s">
        <v>15</v>
      </c>
      <c r="F781" t="s">
        <v>16</v>
      </c>
      <c r="G781" s="6">
        <v>2024</v>
      </c>
      <c r="H781" s="2">
        <v>205593</v>
      </c>
      <c r="I781" s="2">
        <v>5809007.7780112904</v>
      </c>
      <c r="J781" s="3">
        <f>IFERROR(I781/H781,"")</f>
        <v>28.254890866961862</v>
      </c>
      <c r="K781" s="4">
        <f>IFERROR(H781/I781,"")</f>
        <v>3.5392102723330252E-2</v>
      </c>
    </row>
    <row r="782" spans="1:11">
      <c r="A782" t="s">
        <v>11</v>
      </c>
      <c r="B782" t="s">
        <v>65</v>
      </c>
      <c r="C782" t="s">
        <v>18</v>
      </c>
      <c r="D782" t="s">
        <v>21</v>
      </c>
      <c r="E782" t="s">
        <v>15</v>
      </c>
      <c r="F782" t="s">
        <v>16</v>
      </c>
      <c r="G782" s="6">
        <v>2024</v>
      </c>
      <c r="H782" s="2">
        <v>39912</v>
      </c>
      <c r="I782" s="2">
        <v>1122207.2719394388</v>
      </c>
      <c r="J782" s="3">
        <f>IFERROR(I782/H782,"")</f>
        <v>28.117039284912778</v>
      </c>
      <c r="K782" s="4">
        <f>IFERROR(H782/I782,"")</f>
        <v>3.5565622321287092E-2</v>
      </c>
    </row>
    <row r="783" spans="1:11">
      <c r="A783" t="s">
        <v>17</v>
      </c>
      <c r="B783" t="s">
        <v>58</v>
      </c>
      <c r="C783" t="s">
        <v>43</v>
      </c>
      <c r="D783" t="s">
        <v>21</v>
      </c>
      <c r="E783" t="s">
        <v>15</v>
      </c>
      <c r="F783" t="s">
        <v>16</v>
      </c>
      <c r="G783" s="6">
        <v>2024</v>
      </c>
      <c r="H783" s="2">
        <v>147833</v>
      </c>
      <c r="I783" s="2">
        <v>4116780.0401968779</v>
      </c>
      <c r="J783" s="3">
        <f>IFERROR(I783/H783,"")</f>
        <v>27.847503873944774</v>
      </c>
      <c r="K783" s="4">
        <f>IFERROR(H783/I783,"")</f>
        <v>3.5909861240225535E-2</v>
      </c>
    </row>
    <row r="784" spans="1:11">
      <c r="A784" t="s">
        <v>19</v>
      </c>
      <c r="B784" t="s">
        <v>42</v>
      </c>
      <c r="C784" t="s">
        <v>43</v>
      </c>
      <c r="D784" t="s">
        <v>14</v>
      </c>
      <c r="E784" t="s">
        <v>15</v>
      </c>
      <c r="F784" t="s">
        <v>16</v>
      </c>
      <c r="G784" s="6">
        <v>2024</v>
      </c>
      <c r="H784" s="2">
        <v>16617</v>
      </c>
      <c r="I784" s="2">
        <v>451387.36403438519</v>
      </c>
      <c r="J784" s="3">
        <f>IFERROR(I784/H784,"")</f>
        <v>27.164191131635384</v>
      </c>
      <c r="K784" s="4">
        <f>IFERROR(H784/I784,"")</f>
        <v>3.6813170513860842E-2</v>
      </c>
    </row>
    <row r="785" spans="1:11">
      <c r="A785" t="s">
        <v>19</v>
      </c>
      <c r="B785" t="s">
        <v>59</v>
      </c>
      <c r="C785" t="s">
        <v>11</v>
      </c>
      <c r="D785" t="s">
        <v>21</v>
      </c>
      <c r="E785" t="s">
        <v>15</v>
      </c>
      <c r="F785" t="s">
        <v>16</v>
      </c>
      <c r="G785" s="6" t="s">
        <v>81</v>
      </c>
      <c r="H785" s="2">
        <v>34450</v>
      </c>
      <c r="I785" s="2">
        <v>919920.80165157304</v>
      </c>
      <c r="J785" s="3">
        <f>IFERROR(I785/H785,"")</f>
        <v>26.703071165502845</v>
      </c>
      <c r="K785" s="4">
        <f>IFERROR(H785/I785,"")</f>
        <v>3.7448875966442377E-2</v>
      </c>
    </row>
    <row r="786" spans="1:11">
      <c r="A786" t="s">
        <v>17</v>
      </c>
      <c r="B786" t="s">
        <v>75</v>
      </c>
      <c r="C786" t="s">
        <v>17</v>
      </c>
      <c r="D786" t="s">
        <v>21</v>
      </c>
      <c r="E786" t="s">
        <v>15</v>
      </c>
      <c r="F786" t="s">
        <v>16</v>
      </c>
      <c r="G786" s="6" t="s">
        <v>82</v>
      </c>
      <c r="H786" s="2">
        <v>177113</v>
      </c>
      <c r="I786" s="2">
        <v>4498512.5640357668</v>
      </c>
      <c r="J786" s="3">
        <f>IFERROR(I786/H786,"")</f>
        <v>25.399109969543549</v>
      </c>
      <c r="K786" s="4">
        <f>IFERROR(H786/I786,"")</f>
        <v>3.9371458338465989E-2</v>
      </c>
    </row>
    <row r="787" spans="1:11">
      <c r="A787" t="s">
        <v>13</v>
      </c>
      <c r="B787" t="s">
        <v>44</v>
      </c>
      <c r="C787" t="s">
        <v>36</v>
      </c>
      <c r="D787" t="s">
        <v>21</v>
      </c>
      <c r="E787" t="s">
        <v>15</v>
      </c>
      <c r="F787" t="s">
        <v>16</v>
      </c>
      <c r="G787" s="6" t="s">
        <v>81</v>
      </c>
      <c r="H787" s="2">
        <v>26283</v>
      </c>
      <c r="I787" s="2">
        <v>655025.026323269</v>
      </c>
      <c r="J787" s="3">
        <f>IFERROR(I787/H787,"")</f>
        <v>24.922003817040256</v>
      </c>
      <c r="K787" s="4">
        <f>IFERROR(H787/I787,"")</f>
        <v>4.0125184449103429E-2</v>
      </c>
    </row>
    <row r="788" spans="1:11">
      <c r="A788" t="s">
        <v>17</v>
      </c>
      <c r="B788" t="s">
        <v>75</v>
      </c>
      <c r="C788" t="s">
        <v>17</v>
      </c>
      <c r="D788" t="s">
        <v>21</v>
      </c>
      <c r="E788" t="s">
        <v>15</v>
      </c>
      <c r="F788" t="s">
        <v>16</v>
      </c>
      <c r="G788" s="6">
        <v>2024</v>
      </c>
      <c r="H788" s="2">
        <v>536888</v>
      </c>
      <c r="I788" s="2">
        <v>12908757.512065304</v>
      </c>
      <c r="J788" s="3">
        <f>IFERROR(I788/H788,"")</f>
        <v>24.043669279375408</v>
      </c>
      <c r="K788" s="4">
        <f>IFERROR(H788/I788,"")</f>
        <v>4.1590989643905854E-2</v>
      </c>
    </row>
    <row r="789" spans="1:11">
      <c r="A789" t="s">
        <v>17</v>
      </c>
      <c r="B789" t="s">
        <v>75</v>
      </c>
      <c r="C789" t="s">
        <v>17</v>
      </c>
      <c r="D789" t="s">
        <v>21</v>
      </c>
      <c r="E789" t="s">
        <v>15</v>
      </c>
      <c r="F789" t="s">
        <v>16</v>
      </c>
      <c r="G789" s="6">
        <v>2025</v>
      </c>
      <c r="H789" s="2">
        <v>560796</v>
      </c>
      <c r="I789" s="2">
        <v>13265575.162910011</v>
      </c>
      <c r="J789" s="3">
        <f>IFERROR(I789/H789,"")</f>
        <v>23.654903321189899</v>
      </c>
      <c r="K789" s="4">
        <f>IFERROR(H789/I789,"")</f>
        <v>4.2274533377788394E-2</v>
      </c>
    </row>
    <row r="790" spans="1:11">
      <c r="A790" t="s">
        <v>13</v>
      </c>
      <c r="B790" t="s">
        <v>34</v>
      </c>
      <c r="C790" t="s">
        <v>13</v>
      </c>
      <c r="D790" t="s">
        <v>21</v>
      </c>
      <c r="E790" t="s">
        <v>15</v>
      </c>
      <c r="F790" t="s">
        <v>16</v>
      </c>
      <c r="G790" s="6" t="s">
        <v>82</v>
      </c>
      <c r="H790" s="2">
        <v>77420</v>
      </c>
      <c r="I790" s="2">
        <v>1822432.815099674</v>
      </c>
      <c r="J790" s="3">
        <f>IFERROR(I790/H790,"")</f>
        <v>23.539561032028857</v>
      </c>
      <c r="K790" s="4">
        <f>IFERROR(H790/I790,"")</f>
        <v>4.24816757899334E-2</v>
      </c>
    </row>
    <row r="791" spans="1:11">
      <c r="A791" t="s">
        <v>17</v>
      </c>
      <c r="B791" t="s">
        <v>75</v>
      </c>
      <c r="C791" t="s">
        <v>17</v>
      </c>
      <c r="D791" t="s">
        <v>21</v>
      </c>
      <c r="E791" t="s">
        <v>15</v>
      </c>
      <c r="F791" t="s">
        <v>16</v>
      </c>
      <c r="G791" s="6" t="s">
        <v>81</v>
      </c>
      <c r="H791" s="2">
        <v>187746</v>
      </c>
      <c r="I791" s="2">
        <v>4355771.02532114</v>
      </c>
      <c r="J791" s="3">
        <f>IFERROR(I791/H791,"")</f>
        <v>23.200339955690879</v>
      </c>
      <c r="K791" s="4">
        <f>IFERROR(H791/I791,"")</f>
        <v>4.3102816678973151E-2</v>
      </c>
    </row>
    <row r="792" spans="1:11">
      <c r="A792" t="s">
        <v>19</v>
      </c>
      <c r="B792" t="s">
        <v>57</v>
      </c>
      <c r="C792" t="s">
        <v>25</v>
      </c>
      <c r="D792" t="s">
        <v>21</v>
      </c>
      <c r="E792" t="s">
        <v>15</v>
      </c>
      <c r="F792" t="s">
        <v>26</v>
      </c>
      <c r="G792" s="6" t="s">
        <v>82</v>
      </c>
      <c r="H792" s="2">
        <v>12324</v>
      </c>
      <c r="I792" s="2">
        <f>393000*70%</f>
        <v>275100</v>
      </c>
      <c r="J792" s="3">
        <f>IFERROR(I792/H792,"")</f>
        <v>22.322297955209347</v>
      </c>
      <c r="K792" s="4">
        <f>IFERROR(H792/I792,"")</f>
        <v>4.4798255179934569E-2</v>
      </c>
    </row>
    <row r="793" spans="1:11">
      <c r="A793" t="s">
        <v>17</v>
      </c>
      <c r="B793" t="s">
        <v>28</v>
      </c>
      <c r="C793" t="s">
        <v>18</v>
      </c>
      <c r="D793" t="s">
        <v>21</v>
      </c>
      <c r="E793" t="s">
        <v>15</v>
      </c>
      <c r="F793" t="s">
        <v>16</v>
      </c>
      <c r="G793" s="6">
        <v>2024</v>
      </c>
      <c r="H793" s="2">
        <v>144400</v>
      </c>
      <c r="I793" s="2">
        <v>2819057.9460302303</v>
      </c>
      <c r="J793" s="3">
        <f>IFERROR(I793/H793,"")</f>
        <v>19.52256195311794</v>
      </c>
      <c r="K793" s="4">
        <f>IFERROR(H793/I793,"")</f>
        <v>5.1222785329170926E-2</v>
      </c>
    </row>
    <row r="794" spans="1:11">
      <c r="A794" t="s">
        <v>17</v>
      </c>
      <c r="B794" t="s">
        <v>28</v>
      </c>
      <c r="C794" t="s">
        <v>18</v>
      </c>
      <c r="D794" t="s">
        <v>21</v>
      </c>
      <c r="E794" t="s">
        <v>15</v>
      </c>
      <c r="F794" t="s">
        <v>16</v>
      </c>
      <c r="G794" s="6">
        <v>2025</v>
      </c>
      <c r="H794" s="2">
        <v>156200</v>
      </c>
      <c r="I794" s="2">
        <v>2997314.579177272</v>
      </c>
      <c r="J794" s="3">
        <f>IFERROR(I794/H794,"")</f>
        <v>19.188953771941563</v>
      </c>
      <c r="K794" s="4">
        <f>IFERROR(H794/I794,"")</f>
        <v>5.2113315394100239E-2</v>
      </c>
    </row>
    <row r="795" spans="1:11">
      <c r="A795" t="s">
        <v>17</v>
      </c>
      <c r="B795" t="s">
        <v>65</v>
      </c>
      <c r="C795" t="s">
        <v>18</v>
      </c>
      <c r="D795" t="s">
        <v>21</v>
      </c>
      <c r="E795" t="s">
        <v>15</v>
      </c>
      <c r="F795" t="s">
        <v>16</v>
      </c>
      <c r="G795" s="6">
        <v>2024</v>
      </c>
      <c r="H795" s="2">
        <v>152334</v>
      </c>
      <c r="I795" s="2">
        <v>2899976.28726424</v>
      </c>
      <c r="J795" s="3">
        <f>IFERROR(I795/H795,"")</f>
        <v>19.036960148517338</v>
      </c>
      <c r="K795" s="4">
        <f>IFERROR(H795/I795,"")</f>
        <v>5.2529395039884214E-2</v>
      </c>
    </row>
    <row r="796" spans="1:11">
      <c r="A796" t="s">
        <v>19</v>
      </c>
      <c r="B796" t="s">
        <v>54</v>
      </c>
      <c r="C796" t="s">
        <v>25</v>
      </c>
      <c r="D796" t="s">
        <v>21</v>
      </c>
      <c r="E796" t="s">
        <v>15</v>
      </c>
      <c r="F796" t="s">
        <v>26</v>
      </c>
      <c r="G796" s="6">
        <v>2025</v>
      </c>
      <c r="H796" s="2">
        <v>75309</v>
      </c>
      <c r="I796" s="2">
        <v>1417711.0033369819</v>
      </c>
      <c r="J796" s="3">
        <f>IFERROR(I796/H796,"")</f>
        <v>18.825253334089975</v>
      </c>
      <c r="K796" s="4">
        <f>IFERROR(H796/I796,"")</f>
        <v>5.3120135078827117E-2</v>
      </c>
    </row>
    <row r="797" spans="1:11">
      <c r="A797" t="s">
        <v>19</v>
      </c>
      <c r="B797" t="s">
        <v>54</v>
      </c>
      <c r="C797" t="s">
        <v>25</v>
      </c>
      <c r="D797" t="s">
        <v>21</v>
      </c>
      <c r="E797" t="s">
        <v>15</v>
      </c>
      <c r="F797" t="s">
        <v>26</v>
      </c>
      <c r="G797" s="6" t="s">
        <v>82</v>
      </c>
      <c r="H797" s="2">
        <v>30883</v>
      </c>
      <c r="I797" s="2">
        <v>506736.95999751799</v>
      </c>
      <c r="J797" s="3">
        <f>IFERROR(I797/H797,"")</f>
        <v>16.408281578781789</v>
      </c>
      <c r="K797" s="4">
        <f>IFERROR(H797/I797,"")</f>
        <v>6.0944834180145978E-2</v>
      </c>
    </row>
    <row r="798" spans="1:11">
      <c r="A798" t="s">
        <v>19</v>
      </c>
      <c r="B798" t="s">
        <v>54</v>
      </c>
      <c r="C798" t="s">
        <v>25</v>
      </c>
      <c r="D798" t="s">
        <v>21</v>
      </c>
      <c r="E798" t="s">
        <v>15</v>
      </c>
      <c r="F798" t="s">
        <v>26</v>
      </c>
      <c r="G798" s="6">
        <v>2024</v>
      </c>
      <c r="H798" s="2">
        <v>81536</v>
      </c>
      <c r="I798" s="2">
        <v>1265368.5350247393</v>
      </c>
      <c r="J798" s="3">
        <f>IFERROR(I798/H798,"")</f>
        <v>15.519139214883479</v>
      </c>
      <c r="K798" s="4">
        <f>IFERROR(H798/I798,"")</f>
        <v>6.4436563533173272E-2</v>
      </c>
    </row>
    <row r="799" spans="1:11">
      <c r="A799" t="s">
        <v>19</v>
      </c>
      <c r="B799" t="s">
        <v>54</v>
      </c>
      <c r="C799" t="s">
        <v>25</v>
      </c>
      <c r="D799" t="s">
        <v>21</v>
      </c>
      <c r="E799" t="s">
        <v>15</v>
      </c>
      <c r="F799" t="s">
        <v>26</v>
      </c>
      <c r="G799" s="6" t="s">
        <v>81</v>
      </c>
      <c r="H799" s="2">
        <v>28430</v>
      </c>
      <c r="I799" s="2">
        <v>426489.00050140696</v>
      </c>
      <c r="J799" s="3">
        <f>IFERROR(I799/H799,"")</f>
        <v>15.001371807998838</v>
      </c>
      <c r="K799" s="4">
        <f>IFERROR(H799/I799,"")</f>
        <v>6.6660570299763716E-2</v>
      </c>
    </row>
    <row r="800" spans="1:11">
      <c r="A800" t="s">
        <v>17</v>
      </c>
      <c r="B800" t="s">
        <v>65</v>
      </c>
      <c r="C800" t="s">
        <v>18</v>
      </c>
      <c r="D800" t="s">
        <v>21</v>
      </c>
      <c r="E800" t="s">
        <v>15</v>
      </c>
      <c r="F800" t="s">
        <v>16</v>
      </c>
      <c r="G800" s="6" t="s">
        <v>81</v>
      </c>
      <c r="H800" s="2">
        <v>57514</v>
      </c>
      <c r="I800" s="2">
        <v>841125.71078476193</v>
      </c>
      <c r="J800" s="3">
        <f>IFERROR(I800/H800,"")</f>
        <v>14.624712431490801</v>
      </c>
      <c r="K800" s="4">
        <f>IFERROR(H800/I800,"")</f>
        <v>6.8377412867738893E-2</v>
      </c>
    </row>
    <row r="801" spans="1:11">
      <c r="A801" t="s">
        <v>17</v>
      </c>
      <c r="B801" t="s">
        <v>65</v>
      </c>
      <c r="C801" t="s">
        <v>18</v>
      </c>
      <c r="D801" t="s">
        <v>21</v>
      </c>
      <c r="E801" t="s">
        <v>15</v>
      </c>
      <c r="F801" t="s">
        <v>16</v>
      </c>
      <c r="G801" s="6" t="s">
        <v>82</v>
      </c>
      <c r="H801" s="2">
        <v>49214</v>
      </c>
      <c r="I801" s="2">
        <v>702100.50112306094</v>
      </c>
      <c r="J801" s="3">
        <f>IFERROR(I801/H801,"")</f>
        <v>14.266275879283556</v>
      </c>
      <c r="K801" s="4">
        <f>IFERROR(H801/I801,"")</f>
        <v>7.0095377971214401E-2</v>
      </c>
    </row>
    <row r="802" spans="1:11">
      <c r="A802" t="s">
        <v>17</v>
      </c>
      <c r="B802" t="s">
        <v>65</v>
      </c>
      <c r="C802" t="s">
        <v>18</v>
      </c>
      <c r="D802" t="s">
        <v>21</v>
      </c>
      <c r="E802" t="s">
        <v>15</v>
      </c>
      <c r="F802" t="s">
        <v>16</v>
      </c>
      <c r="G802" s="6">
        <v>2025</v>
      </c>
      <c r="H802" s="2">
        <v>162566</v>
      </c>
      <c r="I802" s="2">
        <v>2233431.7718282868</v>
      </c>
      <c r="J802" s="3">
        <f>IFERROR(I802/H802,"")</f>
        <v>13.738615527406019</v>
      </c>
      <c r="K802" s="4">
        <f>IFERROR(H802/I802,"")</f>
        <v>7.2787538016853545E-2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 DATA CUT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Carysforth</cp:lastModifiedBy>
  <dcterms:created xsi:type="dcterms:W3CDTF">2026-05-12T10:12:22Z</dcterms:created>
  <dcterms:modified xsi:type="dcterms:W3CDTF">2026-05-12T10:13:01Z</dcterms:modified>
</cp:coreProperties>
</file>